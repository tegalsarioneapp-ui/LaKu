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UL\RAB OUTPUT\RAKERNIS KEUANGAN FEBRUARI\"/>
    </mc:Choice>
  </mc:AlternateContent>
  <xr:revisionPtr revIDLastSave="0" documentId="13_ncr:1_{AFF861A8-CE2F-465C-9881-56E286D0DF36}" xr6:coauthVersionLast="45" xr6:coauthVersionMax="45" xr10:uidLastSave="{00000000-0000-0000-0000-000000000000}"/>
  <bookViews>
    <workbookView xWindow="14400" yWindow="90" windowWidth="14310" windowHeight="15270" activeTab="1" xr2:uid="{00000000-000D-0000-FFFF-FFFF00000000}"/>
  </bookViews>
  <sheets>
    <sheet name="OPS PPK FEB" sheetId="22" r:id="rId1"/>
    <sheet name="OPS PPS FEB" sheetId="20" r:id="rId2"/>
  </sheets>
  <definedNames>
    <definedName name="_xlnm.Print_Area" localSheetId="0">'OPS PPK FEB'!$A$1:$Q$51</definedName>
    <definedName name="_xlnm.Print_Area" localSheetId="1">'OPS PPS FEB'!$A$1:$Q$67</definedName>
    <definedName name="_xlnm.Print_Titles" localSheetId="1">'OPS PPS FEB'!$11:$13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40" i="22" l="1"/>
  <c r="Q40" i="22" s="1"/>
  <c r="N38" i="22" l="1"/>
  <c r="Q38" i="22" s="1"/>
  <c r="Q36" i="22" s="1"/>
  <c r="Q35" i="22" s="1"/>
  <c r="N40" i="20"/>
  <c r="Q40" i="20" s="1"/>
  <c r="N38" i="20"/>
  <c r="Q38" i="20" s="1"/>
  <c r="Q36" i="20" l="1"/>
  <c r="Q35" i="20"/>
  <c r="N55" i="20" l="1"/>
  <c r="Q55" i="20" s="1"/>
  <c r="N56" i="20"/>
  <c r="Q56" i="20" s="1"/>
  <c r="N54" i="20"/>
  <c r="Q54" i="20" s="1"/>
  <c r="Q52" i="20" s="1"/>
  <c r="Q51" i="20" s="1"/>
  <c r="F49" i="20"/>
  <c r="F48" i="20"/>
  <c r="N47" i="20"/>
  <c r="Q47" i="20" s="1"/>
  <c r="N48" i="20" l="1"/>
  <c r="Q48" i="20" s="1"/>
  <c r="N49" i="20"/>
  <c r="Q49" i="20" s="1"/>
  <c r="Q45" i="20" l="1"/>
  <c r="Q44" i="20" s="1"/>
  <c r="Q42" i="20" s="1"/>
  <c r="F23" i="20" l="1"/>
  <c r="F22" i="20"/>
  <c r="F25" i="22" l="1"/>
  <c r="F24" i="22"/>
  <c r="F23" i="22"/>
  <c r="F22" i="22"/>
  <c r="F21" i="22"/>
  <c r="C60" i="22" l="1"/>
  <c r="C74" i="20" l="1"/>
  <c r="N33" i="20" l="1"/>
  <c r="R29" i="20" l="1"/>
  <c r="R27" i="20" l="1"/>
  <c r="I22" i="20"/>
  <c r="I23" i="20" s="1"/>
  <c r="I21" i="22" l="1"/>
  <c r="I22" i="22" s="1"/>
  <c r="N22" i="22" s="1"/>
  <c r="Q22" i="22" s="1"/>
  <c r="N20" i="22"/>
  <c r="Q20" i="22" s="1"/>
  <c r="N21" i="22" l="1"/>
  <c r="Q21" i="22" s="1"/>
  <c r="I23" i="22"/>
  <c r="I24" i="22" s="1"/>
  <c r="I29" i="22" l="1"/>
  <c r="I25" i="22"/>
  <c r="N25" i="22" s="1"/>
  <c r="Q25" i="22" s="1"/>
  <c r="N23" i="22"/>
  <c r="Q23" i="22" s="1"/>
  <c r="N24" i="22"/>
  <c r="Q24" i="22" s="1"/>
  <c r="Q18" i="22" l="1"/>
  <c r="Q17" i="22" s="1"/>
  <c r="N29" i="22"/>
  <c r="Q29" i="22" s="1"/>
  <c r="Q28" i="22" s="1"/>
  <c r="I33" i="22"/>
  <c r="N33" i="22" s="1"/>
  <c r="Q33" i="22" s="1"/>
  <c r="R28" i="22" l="1"/>
  <c r="Q32" i="22"/>
  <c r="Q31" i="22" s="1"/>
  <c r="R15" i="22" l="1"/>
  <c r="N29" i="20"/>
  <c r="Q29" i="20" s="1"/>
  <c r="I24" i="20"/>
  <c r="I25" i="20" s="1"/>
  <c r="F24" i="20"/>
  <c r="F25" i="20" s="1"/>
  <c r="N23" i="20"/>
  <c r="Q23" i="20" s="1"/>
  <c r="N22" i="20"/>
  <c r="Q22" i="20" s="1"/>
  <c r="N21" i="20"/>
  <c r="Q21" i="20" s="1"/>
  <c r="Q27" i="22" l="1"/>
  <c r="Q15" i="22" s="1"/>
  <c r="Q28" i="20"/>
  <c r="N25" i="20"/>
  <c r="Q25" i="20" s="1"/>
  <c r="N24" i="20"/>
  <c r="Q24" i="20" s="1"/>
  <c r="Q19" i="20" l="1"/>
  <c r="Q18" i="20" s="1"/>
  <c r="Q33" i="20"/>
  <c r="R18" i="20" l="1"/>
  <c r="Q31" i="20"/>
  <c r="Q27" i="20" s="1"/>
  <c r="Q16" i="20" s="1"/>
  <c r="Q14" i="20" s="1"/>
  <c r="R30" i="20" l="1"/>
</calcChain>
</file>

<file path=xl/sharedStrings.xml><?xml version="1.0" encoding="utf-8"?>
<sst xmlns="http://schemas.openxmlformats.org/spreadsheetml/2006/main" count="310" uniqueCount="102">
  <si>
    <t>RENCANA ANGGARAN BIAYA</t>
  </si>
  <si>
    <t>OPERASIONAL PPK</t>
  </si>
  <si>
    <t>1.   LEMBAGA</t>
  </si>
  <si>
    <t>:</t>
  </si>
  <si>
    <t>2.   SATUAN KERJA</t>
  </si>
  <si>
    <t>3.   PROVINSI</t>
  </si>
  <si>
    <t>JAWA TENGAH</t>
  </si>
  <si>
    <t>4.   TAHUN ANGGARAN</t>
  </si>
  <si>
    <t>5.    KEGIATAN</t>
  </si>
  <si>
    <t>KODE</t>
  </si>
  <si>
    <t>PROGRAM/KEGIATAN/OUTPUT/SUBOUTPUT/KOMPONEN/ SUBKOMPONEN/AKUN/DETAIL</t>
  </si>
  <si>
    <t>VOLUME</t>
  </si>
  <si>
    <t>INDEKS</t>
  </si>
  <si>
    <t>JUMLAH</t>
  </si>
  <si>
    <t>A</t>
  </si>
  <si>
    <t>Belanja Bahan</t>
  </si>
  <si>
    <t>Pkt</t>
  </si>
  <si>
    <t>x</t>
  </si>
  <si>
    <t>Org</t>
  </si>
  <si>
    <t>Bantuan Transport</t>
  </si>
  <si>
    <t>OPERASIONAL PPS</t>
  </si>
  <si>
    <t>bln</t>
  </si>
  <si>
    <t>PPK</t>
  </si>
  <si>
    <t>OK</t>
  </si>
  <si>
    <t>Bln</t>
  </si>
  <si>
    <t>PPS</t>
  </si>
  <si>
    <t>6.    BULAN</t>
  </si>
  <si>
    <t>Belanja Barang Non Operasional Lainnya</t>
  </si>
  <si>
    <t>B</t>
  </si>
  <si>
    <t>HONORARIUM PPK</t>
  </si>
  <si>
    <t>521213</t>
  </si>
  <si>
    <t>Honor Output Kegiatan</t>
  </si>
  <si>
    <t>1) Ketua</t>
  </si>
  <si>
    <t>3) Sekretaris</t>
  </si>
  <si>
    <t>4) Staf Sekretariat urusan teknis penyelenggara</t>
  </si>
  <si>
    <t>5) Staf Sekretariat urusan tata usaha, keuangan dan logistik</t>
  </si>
  <si>
    <t>OB</t>
  </si>
  <si>
    <t>2) Anggota</t>
  </si>
  <si>
    <t>HONORARIUM PPS</t>
  </si>
  <si>
    <t>PANITIA PEMUNGUTAN SUARA</t>
  </si>
  <si>
    <t>KOMISI PEMILIHAN UMUM</t>
  </si>
  <si>
    <t>KPU KOTA SEMARANG</t>
  </si>
  <si>
    <t>Komisi Pemilihan Umum</t>
  </si>
  <si>
    <t>- Ke KPU Kota Semarang</t>
  </si>
  <si>
    <t>Ketua KPU Kota Semarang</t>
  </si>
  <si>
    <t>Sekretaris KPU Kota Semarang</t>
  </si>
  <si>
    <t>HENRY CASANDRA GULTOM</t>
  </si>
  <si>
    <t xml:space="preserve">ALOKASI ANGGARAN PPK </t>
  </si>
  <si>
    <t>HONORARIUM DAN OPERASIONAL PPK SE KOTA SEMARANG</t>
  </si>
  <si>
    <t>ATK /Rapat Internal,/Fotokopi/Rapat Koordinasi/ Rapat Pleno</t>
  </si>
  <si>
    <t xml:space="preserve">6) Tenaga Pendukung Sekretariat </t>
  </si>
  <si>
    <t>Rapat-Rapat/Konsultasi/Pengiriman SPJ/Rakernis Keuangan</t>
  </si>
  <si>
    <t>Rakernis Keuangan/Konsultasi/Pengiriman SPJ/Rapat-Rapat</t>
  </si>
  <si>
    <t>TOBIRIN</t>
  </si>
  <si>
    <t>-</t>
  </si>
  <si>
    <t>Rakernis keuangan ke PPK (3 orang)</t>
  </si>
  <si>
    <t>Rakernis keuangan</t>
  </si>
  <si>
    <t>Sosialisasi Peserta Pemilu 2024</t>
  </si>
  <si>
    <t>Rakor Kampanye</t>
  </si>
  <si>
    <t>Pengiriman SPJ ke KPU</t>
  </si>
  <si>
    <t>Pengiriman SPJ ke PPK</t>
  </si>
  <si>
    <t>HONORARIUM DAN OPERASIONAL PPS SE KOTA SEMARANG</t>
  </si>
  <si>
    <t>Konsultasi ke KPU</t>
  </si>
  <si>
    <t xml:space="preserve">Undangan Rapat ke PPK </t>
  </si>
  <si>
    <t>Konsultasi ke PPK</t>
  </si>
  <si>
    <t>*) Peruntukan SPPD Operasional Desember :</t>
  </si>
  <si>
    <t>*) Peruntukan Rapat Operasional Desember :</t>
  </si>
  <si>
    <t>Survey Gudang KPU</t>
  </si>
  <si>
    <t>Rakor DPTb</t>
  </si>
  <si>
    <t>Rakor Pembentukan KPPS</t>
  </si>
  <si>
    <t>Rakor DPTb ke KPU</t>
  </si>
  <si>
    <t>Bimtek Tungsura ke KPU</t>
  </si>
  <si>
    <t>FEBRUARI</t>
  </si>
  <si>
    <t>Honorarium Penyelenggara Pemilihan Tingkat PPK Bulan FEBRUARI</t>
  </si>
  <si>
    <t>Honorarium Penyelenggara Pemilihan Tingkat PPS Bulan FEBRUARI</t>
  </si>
  <si>
    <t>Semarang,     Februari 2024</t>
  </si>
  <si>
    <t>ATK, Fotokopi, Rapat Internal/Rapat Koordinasi</t>
  </si>
  <si>
    <t>I</t>
  </si>
  <si>
    <t>II</t>
  </si>
  <si>
    <t>HONORARIUM KPPS</t>
  </si>
  <si>
    <t>Honorarium Penyelenggara Pemilihan Tingkat KPPS Bulan FEBRUARI</t>
  </si>
  <si>
    <t>ALOKASI ANGGARAN TINGKAT KPPS</t>
  </si>
  <si>
    <t>3) Linmas</t>
  </si>
  <si>
    <t>TPS</t>
  </si>
  <si>
    <t>1) Pembuatan TPS</t>
  </si>
  <si>
    <t>2) Sewa Alat Pengganda</t>
  </si>
  <si>
    <t>3) Daya Tahan Tubuh/ATK/Paket Data/Transport</t>
  </si>
  <si>
    <t>OPERASIONAL KPPS</t>
  </si>
  <si>
    <t>Operasional KPPS Bulan Februari</t>
  </si>
  <si>
    <t>C</t>
  </si>
  <si>
    <t>DISTRIBUSI LOGISTIK</t>
  </si>
  <si>
    <t>Dari PPS ke TPS</t>
  </si>
  <si>
    <t>Distribusi</t>
  </si>
  <si>
    <t>Re-Distribusi</t>
  </si>
  <si>
    <t>Kotak</t>
  </si>
  <si>
    <t>keg</t>
  </si>
  <si>
    <t>DISTRIBUSI LOGISTIK PPS</t>
  </si>
  <si>
    <t>Dari PPS ke PPK</t>
  </si>
  <si>
    <t>Dari PPK ke PPS</t>
  </si>
  <si>
    <t>ALOKASI ANGGARAN PPS</t>
  </si>
  <si>
    <t>ALOKASI ANGGARAN TINGKAT PPS/KPPS</t>
  </si>
  <si>
    <t>Dari TPS ke PPS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</si>
</sst>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* #,##0.0_);_(* \(#,##0.0\);_(* &quot;-&quot;??_);_(@_)"/>
    <numFmt numFmtId="167" formatCode="_(* #,##0_);_(* \(#,##0\);_(* &quot;-&quot;??_);_(@_)"/>
  </numFmts>
  <fonts count="41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mbria"/>
      <family val="1"/>
      <scheme val="major"/>
    </font>
    <font>
      <b/>
      <sz val="11"/>
      <name val="Cambria"/>
      <family val="1"/>
      <scheme val="major"/>
    </font>
    <font>
      <b/>
      <u/>
      <sz val="11"/>
      <name val="Cambria"/>
      <family val="1"/>
      <scheme val="major"/>
    </font>
    <font>
      <u/>
      <sz val="11"/>
      <name val="Cambria"/>
      <family val="1"/>
      <scheme val="major"/>
    </font>
    <font>
      <sz val="11"/>
      <color theme="1"/>
      <name val="Calibri"/>
      <family val="2"/>
      <charset val="1"/>
      <scheme val="minor"/>
    </font>
    <font>
      <b/>
      <sz val="11"/>
      <name val="Cambria"/>
      <family val="1"/>
    </font>
    <font>
      <b/>
      <sz val="12"/>
      <name val="Cambria"/>
      <family val="1"/>
    </font>
    <font>
      <sz val="12"/>
      <name val="Cambria"/>
      <family val="1"/>
    </font>
    <font>
      <b/>
      <sz val="12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i/>
      <sz val="12"/>
      <color theme="1"/>
      <name val="Cambria"/>
      <family val="1"/>
      <scheme val="major"/>
    </font>
    <font>
      <i/>
      <sz val="12"/>
      <color theme="1"/>
      <name val="Cambria"/>
      <family val="1"/>
      <scheme val="major"/>
    </font>
    <font>
      <b/>
      <u/>
      <sz val="12"/>
      <color theme="1"/>
      <name val="Cambria"/>
      <family val="1"/>
      <scheme val="major"/>
    </font>
    <font>
      <b/>
      <u val="singleAccounting"/>
      <sz val="12"/>
      <color theme="1"/>
      <name val="Cambria"/>
      <family val="1"/>
      <scheme val="major"/>
    </font>
    <font>
      <sz val="12"/>
      <name val="Cambria"/>
      <family val="1"/>
      <scheme val="major"/>
    </font>
    <font>
      <sz val="11"/>
      <color rgb="FF000000"/>
      <name val="Cambria"/>
      <family val="1"/>
      <scheme val="major"/>
    </font>
    <font>
      <i/>
      <sz val="11"/>
      <name val="Cambria"/>
      <family val="1"/>
      <scheme val="major"/>
    </font>
    <font>
      <i/>
      <sz val="11"/>
      <color rgb="FF000000"/>
      <name val="Cambria"/>
      <family val="1"/>
      <scheme val="major"/>
    </font>
    <font>
      <b/>
      <sz val="11"/>
      <color rgb="FFFF0000"/>
      <name val="Cambria"/>
      <family val="1"/>
      <scheme val="maj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mbria"/>
      <family val="1"/>
      <scheme val="major"/>
    </font>
    <font>
      <b/>
      <sz val="10"/>
      <name val="Cambria"/>
      <family val="1"/>
      <scheme val="major"/>
    </font>
    <font>
      <sz val="10"/>
      <color rgb="FF000000"/>
      <name val="Calibri"/>
      <scheme val="minor"/>
    </font>
    <font>
      <sz val="12"/>
      <color theme="1"/>
      <name val="Cambria"/>
      <family val="1"/>
    </font>
    <font>
      <b/>
      <sz val="14"/>
      <color theme="1"/>
      <name val="Cambria"/>
      <family val="1"/>
      <scheme val="major"/>
    </font>
    <font>
      <sz val="14"/>
      <color theme="1"/>
      <name val="Cambria"/>
      <family val="1"/>
      <scheme val="major"/>
    </font>
    <font>
      <b/>
      <sz val="13"/>
      <color theme="1"/>
      <name val="Cambria"/>
      <family val="1"/>
      <scheme val="major"/>
    </font>
    <font>
      <sz val="13"/>
      <color theme="1"/>
      <name val="Cambria"/>
      <family val="1"/>
      <scheme val="major"/>
    </font>
    <font>
      <b/>
      <u/>
      <sz val="13"/>
      <color theme="1"/>
      <name val="Cambria"/>
      <family val="1"/>
      <scheme val="major"/>
    </font>
    <font>
      <sz val="13"/>
      <name val="Cambria"/>
      <family val="1"/>
      <scheme val="major"/>
    </font>
    <font>
      <sz val="13"/>
      <color rgb="FF000000"/>
      <name val="Cambria"/>
      <family val="1"/>
      <scheme val="major"/>
    </font>
    <font>
      <b/>
      <sz val="13"/>
      <name val="Cambria"/>
      <family val="1"/>
      <scheme val="major"/>
    </font>
    <font>
      <b/>
      <sz val="12"/>
      <color rgb="FFFF000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hair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</borders>
  <cellStyleXfs count="49">
    <xf numFmtId="0" fontId="0" fillId="0" borderId="0"/>
    <xf numFmtId="0" fontId="3" fillId="0" borderId="0"/>
    <xf numFmtId="164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0" fontId="8" fillId="0" borderId="0"/>
    <xf numFmtId="0" fontId="1" fillId="0" borderId="0"/>
    <xf numFmtId="41" fontId="1" fillId="0" borderId="0" applyFont="0" applyFill="0" applyBorder="0" applyAlignment="0" applyProtection="0"/>
    <xf numFmtId="0" fontId="8" fillId="0" borderId="0"/>
    <xf numFmtId="41" fontId="8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8" fillId="0" borderId="0"/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1" fontId="1" fillId="0" borderId="0" applyFont="0" applyFill="0" applyBorder="0" applyAlignment="0" applyProtection="0"/>
    <xf numFmtId="0" fontId="8" fillId="0" borderId="0"/>
    <xf numFmtId="41" fontId="8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27" fillId="0" borderId="0" applyFont="0" applyFill="0" applyBorder="0" applyAlignment="0" applyProtection="0"/>
    <xf numFmtId="41" fontId="30" fillId="0" borderId="0" applyFont="0" applyFill="0" applyBorder="0" applyAlignment="0" applyProtection="0"/>
  </cellStyleXfs>
  <cellXfs count="295">
    <xf numFmtId="0" fontId="0" fillId="0" borderId="0" xfId="0"/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64" fontId="6" fillId="0" borderId="0" xfId="0" applyNumberFormat="1" applyFont="1" applyAlignment="1">
      <alignment horizontal="left" vertical="center" wrapText="1"/>
    </xf>
    <xf numFmtId="164" fontId="4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164" fontId="4" fillId="0" borderId="0" xfId="0" applyNumberFormat="1" applyFont="1" applyAlignment="1">
      <alignment vertical="center"/>
    </xf>
    <xf numFmtId="164" fontId="4" fillId="0" borderId="0" xfId="0" applyNumberFormat="1" applyFont="1" applyAlignment="1">
      <alignment horizontal="left" vertical="center"/>
    </xf>
    <xf numFmtId="0" fontId="4" fillId="0" borderId="20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vertical="center" wrapText="1"/>
    </xf>
    <xf numFmtId="0" fontId="4" fillId="0" borderId="22" xfId="0" applyFont="1" applyBorder="1" applyAlignment="1">
      <alignment horizontal="left" vertical="center" wrapText="1"/>
    </xf>
    <xf numFmtId="164" fontId="4" fillId="0" borderId="23" xfId="0" applyNumberFormat="1" applyFont="1" applyBorder="1" applyAlignment="1">
      <alignment horizontal="left" vertical="center" wrapText="1"/>
    </xf>
    <xf numFmtId="0" fontId="6" fillId="0" borderId="20" xfId="0" applyFont="1" applyBorder="1" applyAlignment="1">
      <alignment horizontal="left" vertical="center" wrapText="1"/>
    </xf>
    <xf numFmtId="0" fontId="5" fillId="0" borderId="20" xfId="0" applyFont="1" applyBorder="1" applyAlignment="1">
      <alignment vertical="center" wrapText="1"/>
    </xf>
    <xf numFmtId="0" fontId="7" fillId="0" borderId="20" xfId="0" applyFont="1" applyBorder="1" applyAlignment="1">
      <alignment horizontal="center" vertical="center"/>
    </xf>
    <xf numFmtId="0" fontId="4" fillId="0" borderId="20" xfId="0" quotePrefix="1" applyFont="1" applyBorder="1" applyAlignment="1">
      <alignment vertical="center"/>
    </xf>
    <xf numFmtId="0" fontId="4" fillId="0" borderId="20" xfId="0" applyFont="1" applyBorder="1" applyAlignment="1">
      <alignment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164" fontId="4" fillId="0" borderId="23" xfId="0" applyNumberFormat="1" applyFont="1" applyBorder="1" applyAlignment="1">
      <alignment horizontal="center" vertical="center" wrapText="1"/>
    </xf>
    <xf numFmtId="0" fontId="4" fillId="0" borderId="20" xfId="0" quotePrefix="1" applyFont="1" applyBorder="1" applyAlignment="1">
      <alignment vertical="center" wrapText="1"/>
    </xf>
    <xf numFmtId="0" fontId="4" fillId="2" borderId="20" xfId="1" applyFont="1" applyFill="1" applyBorder="1" applyAlignment="1">
      <alignment horizontal="center" vertical="center"/>
    </xf>
    <xf numFmtId="0" fontId="4" fillId="0" borderId="24" xfId="0" applyFont="1" applyBorder="1" applyAlignment="1">
      <alignment horizontal="left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164" fontId="4" fillId="0" borderId="26" xfId="0" applyNumberFormat="1" applyFont="1" applyBorder="1" applyAlignment="1">
      <alignment vertical="center"/>
    </xf>
    <xf numFmtId="164" fontId="4" fillId="0" borderId="27" xfId="0" applyNumberFormat="1" applyFont="1" applyBorder="1" applyAlignment="1">
      <alignment horizontal="left" vertical="center"/>
    </xf>
    <xf numFmtId="164" fontId="4" fillId="0" borderId="27" xfId="0" applyNumberFormat="1" applyFont="1" applyBorder="1" applyAlignment="1">
      <alignment horizontal="left" vertical="center" wrapText="1"/>
    </xf>
    <xf numFmtId="0" fontId="5" fillId="0" borderId="20" xfId="0" quotePrefix="1" applyFont="1" applyBorder="1" applyAlignment="1">
      <alignment vertical="center" wrapText="1"/>
    </xf>
    <xf numFmtId="0" fontId="4" fillId="0" borderId="29" xfId="0" applyFont="1" applyBorder="1" applyAlignment="1">
      <alignment vertical="center" wrapText="1"/>
    </xf>
    <xf numFmtId="0" fontId="4" fillId="0" borderId="30" xfId="0" applyFont="1" applyBorder="1" applyAlignment="1">
      <alignment horizontal="left" vertical="center" wrapText="1"/>
    </xf>
    <xf numFmtId="164" fontId="4" fillId="0" borderId="31" xfId="0" applyNumberFormat="1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 vertical="center" wrapText="1"/>
    </xf>
    <xf numFmtId="0" fontId="11" fillId="0" borderId="20" xfId="19" applyFont="1" applyBorder="1" applyAlignment="1">
      <alignment vertical="top"/>
    </xf>
    <xf numFmtId="0" fontId="11" fillId="0" borderId="20" xfId="19" applyFont="1" applyBorder="1" applyAlignment="1">
      <alignment horizontal="center" vertical="top"/>
    </xf>
    <xf numFmtId="41" fontId="11" fillId="0" borderId="20" xfId="21" applyFont="1" applyFill="1" applyBorder="1" applyAlignment="1">
      <alignment vertical="top"/>
    </xf>
    <xf numFmtId="41" fontId="11" fillId="0" borderId="20" xfId="21" applyFont="1" applyFill="1" applyBorder="1" applyAlignment="1">
      <alignment horizontal="center" vertical="center"/>
    </xf>
    <xf numFmtId="164" fontId="6" fillId="0" borderId="31" xfId="0" applyNumberFormat="1" applyFont="1" applyBorder="1" applyAlignment="1">
      <alignment horizontal="left"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165" fontId="13" fillId="0" borderId="0" xfId="0" applyNumberFormat="1" applyFont="1"/>
    <xf numFmtId="0" fontId="14" fillId="0" borderId="0" xfId="0" applyFont="1" applyAlignment="1">
      <alignment vertical="center"/>
    </xf>
    <xf numFmtId="0" fontId="13" fillId="0" borderId="0" xfId="0" applyFont="1" applyAlignment="1">
      <alignment horizontal="right" vertical="center" wrapText="1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164" fontId="17" fillId="0" borderId="0" xfId="0" applyNumberFormat="1" applyFont="1" applyAlignment="1">
      <alignment horizontal="left" vertical="center" wrapText="1"/>
    </xf>
    <xf numFmtId="0" fontId="13" fillId="0" borderId="29" xfId="0" applyFont="1" applyBorder="1" applyAlignment="1">
      <alignment vertical="center" wrapText="1"/>
    </xf>
    <xf numFmtId="0" fontId="13" fillId="0" borderId="30" xfId="0" applyFont="1" applyBorder="1" applyAlignment="1">
      <alignment horizontal="left" vertical="center" wrapText="1"/>
    </xf>
    <xf numFmtId="164" fontId="13" fillId="0" borderId="31" xfId="0" applyNumberFormat="1" applyFont="1" applyBorder="1" applyAlignment="1">
      <alignment horizontal="left" vertical="center" wrapText="1"/>
    </xf>
    <xf numFmtId="164" fontId="17" fillId="0" borderId="23" xfId="0" applyNumberFormat="1" applyFont="1" applyBorder="1" applyAlignment="1">
      <alignment horizontal="left" vertical="center" wrapText="1"/>
    </xf>
    <xf numFmtId="0" fontId="14" fillId="0" borderId="20" xfId="0" applyFont="1" applyBorder="1" applyAlignment="1">
      <alignment horizontal="left" vertical="center" wrapText="1"/>
    </xf>
    <xf numFmtId="0" fontId="13" fillId="0" borderId="20" xfId="0" applyFont="1" applyBorder="1" applyAlignment="1">
      <alignment vertical="center"/>
    </xf>
    <xf numFmtId="0" fontId="13" fillId="0" borderId="21" xfId="0" applyFont="1" applyBorder="1" applyAlignment="1">
      <alignment vertical="center" wrapText="1"/>
    </xf>
    <xf numFmtId="0" fontId="13" fillId="0" borderId="22" xfId="0" applyFont="1" applyBorder="1" applyAlignment="1">
      <alignment horizontal="left" vertical="center" wrapText="1"/>
    </xf>
    <xf numFmtId="164" fontId="13" fillId="0" borderId="23" xfId="0" applyNumberFormat="1" applyFont="1" applyBorder="1" applyAlignment="1">
      <alignment horizontal="left" vertical="center" wrapText="1"/>
    </xf>
    <xf numFmtId="164" fontId="18" fillId="0" borderId="23" xfId="0" applyNumberFormat="1" applyFont="1" applyBorder="1" applyAlignment="1">
      <alignment horizontal="left" vertical="center" wrapText="1"/>
    </xf>
    <xf numFmtId="164" fontId="14" fillId="0" borderId="23" xfId="0" applyNumberFormat="1" applyFont="1" applyBorder="1" applyAlignment="1">
      <alignment horizontal="left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28" xfId="0" applyFont="1" applyBorder="1"/>
    <xf numFmtId="164" fontId="17" fillId="0" borderId="31" xfId="0" applyNumberFormat="1" applyFont="1" applyBorder="1" applyAlignment="1">
      <alignment horizontal="left" vertical="center" wrapText="1"/>
    </xf>
    <xf numFmtId="0" fontId="17" fillId="0" borderId="20" xfId="0" applyFont="1" applyBorder="1" applyAlignment="1">
      <alignment horizontal="left" vertical="center" wrapText="1"/>
    </xf>
    <xf numFmtId="0" fontId="13" fillId="0" borderId="20" xfId="0" applyFont="1" applyBorder="1" applyAlignment="1">
      <alignment horizontal="left" vertical="center" wrapText="1"/>
    </xf>
    <xf numFmtId="0" fontId="13" fillId="0" borderId="20" xfId="0" applyFont="1" applyBorder="1" applyAlignment="1">
      <alignment horizontal="center" vertical="center"/>
    </xf>
    <xf numFmtId="0" fontId="14" fillId="0" borderId="20" xfId="0" applyFont="1" applyBorder="1" applyAlignment="1">
      <alignment vertical="center" wrapText="1"/>
    </xf>
    <xf numFmtId="0" fontId="13" fillId="0" borderId="20" xfId="0" applyFont="1" applyBorder="1" applyAlignment="1">
      <alignment horizontal="center"/>
    </xf>
    <xf numFmtId="0" fontId="13" fillId="0" borderId="21" xfId="0" applyFont="1" applyBorder="1" applyAlignment="1">
      <alignment horizontal="center" wrapText="1"/>
    </xf>
    <xf numFmtId="0" fontId="13" fillId="0" borderId="22" xfId="0" applyFont="1" applyBorder="1" applyAlignment="1">
      <alignment horizontal="center" wrapText="1"/>
    </xf>
    <xf numFmtId="164" fontId="13" fillId="0" borderId="23" xfId="0" applyNumberFormat="1" applyFont="1" applyBorder="1" applyAlignment="1">
      <alignment horizontal="center" wrapText="1"/>
    </xf>
    <xf numFmtId="164" fontId="13" fillId="0" borderId="0" xfId="0" applyNumberFormat="1" applyFont="1" applyAlignment="1">
      <alignment horizontal="left" vertical="center" wrapText="1"/>
    </xf>
    <xf numFmtId="0" fontId="13" fillId="0" borderId="20" xfId="0" quotePrefix="1" applyFont="1" applyBorder="1" applyAlignment="1">
      <alignment horizontal="left" vertical="center"/>
    </xf>
    <xf numFmtId="0" fontId="13" fillId="0" borderId="20" xfId="0" applyFont="1" applyBorder="1"/>
    <xf numFmtId="164" fontId="13" fillId="0" borderId="23" xfId="0" applyNumberFormat="1" applyFont="1" applyBorder="1" applyAlignment="1">
      <alignment horizontal="right" wrapText="1"/>
    </xf>
    <xf numFmtId="0" fontId="17" fillId="0" borderId="20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164" fontId="13" fillId="0" borderId="23" xfId="0" applyNumberFormat="1" applyFont="1" applyBorder="1" applyAlignment="1">
      <alignment horizontal="center" vertical="center" wrapText="1"/>
    </xf>
    <xf numFmtId="164" fontId="14" fillId="0" borderId="23" xfId="0" applyNumberFormat="1" applyFont="1" applyBorder="1" applyAlignment="1">
      <alignment horizontal="right" wrapText="1"/>
    </xf>
    <xf numFmtId="164" fontId="13" fillId="0" borderId="23" xfId="0" applyNumberFormat="1" applyFont="1" applyBorder="1" applyAlignment="1">
      <alignment horizontal="right" vertical="center" wrapText="1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164" fontId="13" fillId="0" borderId="8" xfId="0" applyNumberFormat="1" applyFont="1" applyBorder="1" applyAlignment="1">
      <alignment vertical="center"/>
    </xf>
    <xf numFmtId="164" fontId="13" fillId="0" borderId="10" xfId="0" applyNumberFormat="1" applyFont="1" applyBorder="1" applyAlignment="1">
      <alignment horizontal="left" vertical="center"/>
    </xf>
    <xf numFmtId="164" fontId="13" fillId="0" borderId="10" xfId="0" applyNumberFormat="1" applyFont="1" applyBorder="1" applyAlignment="1">
      <alignment horizontal="left" vertical="center" wrapText="1"/>
    </xf>
    <xf numFmtId="164" fontId="5" fillId="0" borderId="23" xfId="0" applyNumberFormat="1" applyFont="1" applyBorder="1" applyAlignment="1">
      <alignment horizontal="right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/>
    </xf>
    <xf numFmtId="0" fontId="5" fillId="0" borderId="28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14" fillId="0" borderId="28" xfId="0" applyFont="1" applyBorder="1" applyAlignment="1">
      <alignment horizontal="left" vertical="center" wrapText="1"/>
    </xf>
    <xf numFmtId="0" fontId="13" fillId="0" borderId="28" xfId="0" applyFont="1" applyBorder="1" applyAlignment="1">
      <alignment vertical="center"/>
    </xf>
    <xf numFmtId="0" fontId="14" fillId="0" borderId="0" xfId="0" applyFont="1" applyAlignment="1">
      <alignment horizontal="left" vertical="center" wrapText="1"/>
    </xf>
    <xf numFmtId="0" fontId="13" fillId="0" borderId="0" xfId="0" applyFont="1"/>
    <xf numFmtId="0" fontId="14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164" fontId="20" fillId="0" borderId="0" xfId="0" applyNumberFormat="1" applyFont="1" applyAlignment="1">
      <alignment vertical="center"/>
    </xf>
    <xf numFmtId="165" fontId="20" fillId="0" borderId="0" xfId="0" applyNumberFormat="1" applyFont="1" applyAlignment="1">
      <alignment vertical="center"/>
    </xf>
    <xf numFmtId="0" fontId="21" fillId="0" borderId="11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2" fillId="0" borderId="0" xfId="0" applyFont="1" applyAlignment="1">
      <alignment vertical="center"/>
    </xf>
    <xf numFmtId="164" fontId="22" fillId="0" borderId="0" xfId="0" applyNumberFormat="1" applyFont="1" applyAlignment="1">
      <alignment vertical="center"/>
    </xf>
    <xf numFmtId="164" fontId="23" fillId="0" borderId="23" xfId="0" applyNumberFormat="1" applyFont="1" applyBorder="1" applyAlignment="1">
      <alignment horizontal="left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164" fontId="20" fillId="0" borderId="23" xfId="0" applyNumberFormat="1" applyFont="1" applyBorder="1" applyAlignment="1">
      <alignment horizontal="center" vertical="center" wrapText="1"/>
    </xf>
    <xf numFmtId="164" fontId="20" fillId="0" borderId="23" xfId="0" applyNumberFormat="1" applyFont="1" applyBorder="1" applyAlignment="1">
      <alignment horizontal="right" vertical="center" wrapText="1"/>
    </xf>
    <xf numFmtId="0" fontId="20" fillId="0" borderId="28" xfId="0" applyFont="1" applyBorder="1" applyAlignment="1">
      <alignment vertical="center"/>
    </xf>
    <xf numFmtId="164" fontId="23" fillId="0" borderId="23" xfId="0" applyNumberFormat="1" applyFont="1" applyBorder="1" applyAlignment="1">
      <alignment horizontal="right" vertical="center" wrapText="1"/>
    </xf>
    <xf numFmtId="41" fontId="4" fillId="0" borderId="29" xfId="0" applyNumberFormat="1" applyFont="1" applyBorder="1" applyAlignment="1">
      <alignment vertical="center" wrapText="1"/>
    </xf>
    <xf numFmtId="164" fontId="23" fillId="0" borderId="31" xfId="0" applyNumberFormat="1" applyFont="1" applyBorder="1" applyAlignment="1">
      <alignment horizontal="left" vertical="center" wrapText="1"/>
    </xf>
    <xf numFmtId="164" fontId="6" fillId="3" borderId="31" xfId="0" applyNumberFormat="1" applyFont="1" applyFill="1" applyBorder="1" applyAlignment="1">
      <alignment horizontal="left" vertical="center" wrapText="1"/>
    </xf>
    <xf numFmtId="41" fontId="4" fillId="0" borderId="20" xfId="0" applyNumberFormat="1" applyFont="1" applyBorder="1" applyAlignment="1">
      <alignment horizontal="center" vertical="center"/>
    </xf>
    <xf numFmtId="164" fontId="6" fillId="3" borderId="23" xfId="0" applyNumberFormat="1" applyFont="1" applyFill="1" applyBorder="1" applyAlignment="1">
      <alignment horizontal="left" vertical="center" wrapText="1"/>
    </xf>
    <xf numFmtId="41" fontId="20" fillId="0" borderId="21" xfId="0" applyNumberFormat="1" applyFont="1" applyBorder="1" applyAlignment="1">
      <alignment horizontal="center" vertical="center" wrapText="1"/>
    </xf>
    <xf numFmtId="0" fontId="4" fillId="0" borderId="20" xfId="0" quotePrefix="1" applyFont="1" applyBorder="1" applyAlignment="1">
      <alignment horizontal="left" vertical="center" wrapText="1"/>
    </xf>
    <xf numFmtId="0" fontId="14" fillId="0" borderId="20" xfId="19" applyFont="1" applyBorder="1" applyAlignment="1">
      <alignment vertical="top"/>
    </xf>
    <xf numFmtId="0" fontId="13" fillId="0" borderId="20" xfId="19" applyFont="1" applyBorder="1" applyAlignment="1">
      <alignment vertical="top"/>
    </xf>
    <xf numFmtId="164" fontId="13" fillId="0" borderId="20" xfId="19" applyNumberFormat="1" applyFont="1" applyBorder="1" applyAlignment="1">
      <alignment vertical="top"/>
    </xf>
    <xf numFmtId="41" fontId="13" fillId="0" borderId="20" xfId="21" applyFont="1" applyFill="1" applyBorder="1" applyAlignment="1">
      <alignment horizontal="center" vertical="center"/>
    </xf>
    <xf numFmtId="0" fontId="13" fillId="0" borderId="20" xfId="19" applyFont="1" applyBorder="1" applyAlignment="1">
      <alignment horizontal="center" vertical="top"/>
    </xf>
    <xf numFmtId="41" fontId="13" fillId="0" borderId="20" xfId="21" applyFont="1" applyFill="1" applyBorder="1" applyAlignment="1">
      <alignment vertical="top"/>
    </xf>
    <xf numFmtId="0" fontId="24" fillId="0" borderId="0" xfId="0" applyFont="1" applyAlignment="1">
      <alignment vertical="center"/>
    </xf>
    <xf numFmtId="0" fontId="25" fillId="0" borderId="0" xfId="0" quotePrefix="1" applyFont="1" applyAlignment="1">
      <alignment horizontal="right"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3" fillId="0" borderId="0" xfId="0" applyFont="1"/>
    <xf numFmtId="0" fontId="4" fillId="0" borderId="0" xfId="0" applyFont="1" applyAlignment="1">
      <alignment vertical="center"/>
    </xf>
    <xf numFmtId="0" fontId="4" fillId="0" borderId="0" xfId="0" quotePrefix="1" applyFont="1" applyAlignment="1">
      <alignment horizontal="right" vertical="center"/>
    </xf>
    <xf numFmtId="0" fontId="20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3" fillId="0" borderId="0" xfId="0" applyFont="1"/>
    <xf numFmtId="0" fontId="4" fillId="0" borderId="0" xfId="0" applyFont="1" applyAlignment="1">
      <alignment vertical="center"/>
    </xf>
    <xf numFmtId="166" fontId="4" fillId="0" borderId="0" xfId="47" quotePrefix="1" applyNumberFormat="1" applyFont="1" applyAlignment="1">
      <alignment horizontal="right" vertical="center"/>
    </xf>
    <xf numFmtId="167" fontId="4" fillId="0" borderId="0" xfId="47" quotePrefix="1" applyNumberFormat="1" applyFont="1" applyAlignment="1">
      <alignment horizontal="right" vertical="center"/>
    </xf>
    <xf numFmtId="0" fontId="4" fillId="0" borderId="20" xfId="0" applyFont="1" applyBorder="1" applyAlignment="1">
      <alignment horizontal="right" vertical="center" wrapText="1"/>
    </xf>
    <xf numFmtId="167" fontId="28" fillId="0" borderId="0" xfId="47" quotePrefix="1" applyNumberFormat="1" applyFont="1" applyAlignment="1">
      <alignment horizontal="right" vertical="center"/>
    </xf>
    <xf numFmtId="0" fontId="13" fillId="0" borderId="20" xfId="0" applyFont="1" applyBorder="1" applyAlignment="1">
      <alignment horizontal="right" wrapText="1"/>
    </xf>
    <xf numFmtId="0" fontId="13" fillId="0" borderId="20" xfId="0" applyFont="1" applyBorder="1" applyAlignment="1">
      <alignment horizontal="right" vertical="center" wrapText="1"/>
    </xf>
    <xf numFmtId="166" fontId="4" fillId="0" borderId="0" xfId="47" applyNumberFormat="1" applyFont="1" applyAlignment="1">
      <alignment horizontal="center" vertical="center"/>
    </xf>
    <xf numFmtId="0" fontId="20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67" fontId="20" fillId="0" borderId="0" xfId="47" applyNumberFormat="1" applyFont="1" applyAlignment="1">
      <alignment vertical="center"/>
    </xf>
    <xf numFmtId="167" fontId="29" fillId="0" borderId="32" xfId="47" quotePrefix="1" applyNumberFormat="1" applyFont="1" applyBorder="1" applyAlignment="1">
      <alignment horizontal="right" vertical="center"/>
    </xf>
    <xf numFmtId="167" fontId="5" fillId="0" borderId="32" xfId="47" quotePrefix="1" applyNumberFormat="1" applyFont="1" applyBorder="1" applyAlignment="1">
      <alignment horizontal="right" vertical="center"/>
    </xf>
    <xf numFmtId="0" fontId="13" fillId="0" borderId="0" xfId="0" applyFont="1"/>
    <xf numFmtId="0" fontId="20" fillId="0" borderId="0" xfId="0" applyFont="1" applyAlignment="1">
      <alignment vertical="center"/>
    </xf>
    <xf numFmtId="0" fontId="14" fillId="0" borderId="28" xfId="0" applyFont="1" applyBorder="1" applyAlignment="1">
      <alignment horizontal="left" vertical="center" wrapText="1"/>
    </xf>
    <xf numFmtId="0" fontId="13" fillId="0" borderId="28" xfId="0" applyFont="1" applyBorder="1" applyAlignment="1">
      <alignment vertical="center"/>
    </xf>
    <xf numFmtId="0" fontId="13" fillId="0" borderId="0" xfId="0" applyFont="1"/>
    <xf numFmtId="0" fontId="4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4" fillId="0" borderId="0" xfId="0" quotePrefix="1" applyFont="1" applyBorder="1" applyAlignment="1">
      <alignment horizontal="left" vertical="center" wrapText="1"/>
    </xf>
    <xf numFmtId="0" fontId="13" fillId="0" borderId="0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 wrapText="1"/>
    </xf>
    <xf numFmtId="164" fontId="13" fillId="0" borderId="35" xfId="0" applyNumberFormat="1" applyFont="1" applyBorder="1" applyAlignment="1">
      <alignment horizontal="center" vertical="center" wrapText="1"/>
    </xf>
    <xf numFmtId="164" fontId="13" fillId="0" borderId="35" xfId="0" applyNumberFormat="1" applyFont="1" applyBorder="1" applyAlignment="1">
      <alignment horizontal="right" vertical="center" wrapText="1"/>
    </xf>
    <xf numFmtId="41" fontId="31" fillId="0" borderId="0" xfId="48" applyFont="1" applyBorder="1" applyAlignment="1">
      <alignment vertical="center"/>
    </xf>
    <xf numFmtId="41" fontId="31" fillId="0" borderId="0" xfId="48" applyFont="1" applyBorder="1" applyAlignment="1">
      <alignment horizontal="left" vertical="center"/>
    </xf>
    <xf numFmtId="41" fontId="13" fillId="0" borderId="21" xfId="48" applyFont="1" applyBorder="1" applyAlignment="1">
      <alignment horizontal="center" vertical="center" wrapText="1"/>
    </xf>
    <xf numFmtId="41" fontId="31" fillId="0" borderId="36" xfId="48" applyFont="1" applyBorder="1" applyAlignment="1">
      <alignment vertical="center"/>
    </xf>
    <xf numFmtId="0" fontId="4" fillId="0" borderId="38" xfId="0" quotePrefix="1" applyFont="1" applyBorder="1" applyAlignment="1">
      <alignment horizontal="left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164" fontId="13" fillId="0" borderId="41" xfId="0" applyNumberFormat="1" applyFont="1" applyBorder="1" applyAlignment="1">
      <alignment horizontal="center" vertical="center" wrapText="1"/>
    </xf>
    <xf numFmtId="164" fontId="13" fillId="0" borderId="41" xfId="0" applyNumberFormat="1" applyFont="1" applyBorder="1" applyAlignment="1">
      <alignment horizontal="right" vertical="center" wrapText="1"/>
    </xf>
    <xf numFmtId="41" fontId="13" fillId="0" borderId="21" xfId="0" applyNumberFormat="1" applyFont="1" applyBorder="1" applyAlignment="1">
      <alignment horizontal="center" vertical="center" wrapText="1"/>
    </xf>
    <xf numFmtId="0" fontId="13" fillId="3" borderId="29" xfId="0" applyFont="1" applyFill="1" applyBorder="1" applyAlignment="1">
      <alignment vertical="center" wrapText="1"/>
    </xf>
    <xf numFmtId="0" fontId="13" fillId="3" borderId="30" xfId="0" applyFont="1" applyFill="1" applyBorder="1" applyAlignment="1">
      <alignment horizontal="left" vertical="center" wrapText="1"/>
    </xf>
    <xf numFmtId="164" fontId="13" fillId="3" borderId="31" xfId="0" applyNumberFormat="1" applyFont="1" applyFill="1" applyBorder="1" applyAlignment="1">
      <alignment horizontal="left" vertical="center" wrapText="1"/>
    </xf>
    <xf numFmtId="164" fontId="17" fillId="3" borderId="31" xfId="0" applyNumberFormat="1" applyFont="1" applyFill="1" applyBorder="1" applyAlignment="1">
      <alignment horizontal="left" vertical="center" wrapText="1"/>
    </xf>
    <xf numFmtId="0" fontId="13" fillId="0" borderId="33" xfId="0" applyFont="1" applyFill="1" applyBorder="1" applyAlignment="1">
      <alignment vertical="center" wrapText="1"/>
    </xf>
    <xf numFmtId="0" fontId="13" fillId="0" borderId="34" xfId="0" applyFont="1" applyFill="1" applyBorder="1" applyAlignment="1">
      <alignment horizontal="left" vertical="center" wrapText="1"/>
    </xf>
    <xf numFmtId="164" fontId="13" fillId="0" borderId="35" xfId="0" applyNumberFormat="1" applyFont="1" applyFill="1" applyBorder="1" applyAlignment="1">
      <alignment horizontal="left" vertical="center" wrapText="1"/>
    </xf>
    <xf numFmtId="164" fontId="17" fillId="0" borderId="35" xfId="0" applyNumberFormat="1" applyFont="1" applyFill="1" applyBorder="1" applyAlignment="1">
      <alignment horizontal="left" vertical="center" wrapText="1"/>
    </xf>
    <xf numFmtId="0" fontId="13" fillId="0" borderId="20" xfId="19" applyFont="1" applyBorder="1" applyAlignment="1">
      <alignment horizontal="left" vertical="top"/>
    </xf>
    <xf numFmtId="0" fontId="14" fillId="0" borderId="42" xfId="0" applyFont="1" applyFill="1" applyBorder="1" applyAlignment="1">
      <alignment horizontal="center" vertical="center" wrapText="1"/>
    </xf>
    <xf numFmtId="0" fontId="14" fillId="3" borderId="43" xfId="0" applyFont="1" applyFill="1" applyBorder="1" applyAlignment="1">
      <alignment horizontal="center" vertical="center" wrapText="1"/>
    </xf>
    <xf numFmtId="0" fontId="14" fillId="0" borderId="43" xfId="0" applyFont="1" applyBorder="1" applyAlignment="1">
      <alignment horizontal="center" vertical="center" wrapText="1"/>
    </xf>
    <xf numFmtId="0" fontId="14" fillId="0" borderId="44" xfId="0" applyFont="1" applyBorder="1" applyAlignment="1">
      <alignment horizontal="center" vertical="center" wrapText="1"/>
    </xf>
    <xf numFmtId="49" fontId="14" fillId="0" borderId="44" xfId="19" applyNumberFormat="1" applyFont="1" applyBorder="1" applyAlignment="1">
      <alignment horizontal="center" vertical="center"/>
    </xf>
    <xf numFmtId="0" fontId="14" fillId="0" borderId="44" xfId="19" applyFont="1" applyBorder="1" applyAlignment="1">
      <alignment horizontal="right" vertical="top"/>
    </xf>
    <xf numFmtId="0" fontId="14" fillId="0" borderId="44" xfId="0" applyFont="1" applyBorder="1" applyAlignment="1">
      <alignment horizontal="center"/>
    </xf>
    <xf numFmtId="0" fontId="14" fillId="0" borderId="44" xfId="0" applyFont="1" applyBorder="1" applyAlignment="1">
      <alignment horizontal="right" vertical="center" wrapText="1"/>
    </xf>
    <xf numFmtId="0" fontId="14" fillId="0" borderId="37" xfId="0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165" fontId="38" fillId="0" borderId="0" xfId="0" applyNumberFormat="1" applyFont="1"/>
    <xf numFmtId="0" fontId="39" fillId="0" borderId="0" xfId="0" applyFont="1" applyAlignment="1">
      <alignment horizontal="center" vertical="center"/>
    </xf>
    <xf numFmtId="0" fontId="5" fillId="0" borderId="20" xfId="0" quotePrefix="1" applyFont="1" applyBorder="1" applyAlignment="1">
      <alignment horizontal="left" vertical="center" wrapText="1"/>
    </xf>
    <xf numFmtId="0" fontId="13" fillId="0" borderId="0" xfId="19" applyFont="1" applyBorder="1" applyAlignment="1">
      <alignment horizontal="center" vertical="center"/>
    </xf>
    <xf numFmtId="0" fontId="13" fillId="0" borderId="0" xfId="19" applyFont="1" applyBorder="1" applyAlignment="1">
      <alignment vertical="center"/>
    </xf>
    <xf numFmtId="41" fontId="13" fillId="0" borderId="0" xfId="21" applyFont="1" applyFill="1" applyBorder="1" applyAlignment="1">
      <alignment vertical="center"/>
    </xf>
    <xf numFmtId="0" fontId="13" fillId="0" borderId="0" xfId="0" applyFont="1" applyBorder="1" applyAlignment="1">
      <alignment vertical="center"/>
    </xf>
    <xf numFmtId="41" fontId="13" fillId="0" borderId="33" xfId="0" applyNumberFormat="1" applyFont="1" applyBorder="1" applyAlignment="1">
      <alignment vertical="center" wrapText="1"/>
    </xf>
    <xf numFmtId="164" fontId="13" fillId="0" borderId="35" xfId="0" applyNumberFormat="1" applyFont="1" applyBorder="1" applyAlignment="1">
      <alignment horizontal="left" vertical="center" wrapText="1"/>
    </xf>
    <xf numFmtId="0" fontId="13" fillId="0" borderId="0" xfId="0" applyFont="1" applyBorder="1" applyAlignment="1">
      <alignment horizontal="right" wrapText="1"/>
    </xf>
    <xf numFmtId="0" fontId="13" fillId="0" borderId="0" xfId="0" applyFont="1" applyBorder="1" applyAlignment="1">
      <alignment horizontal="center"/>
    </xf>
    <xf numFmtId="41" fontId="13" fillId="0" borderId="33" xfId="0" applyNumberFormat="1" applyFont="1" applyBorder="1" applyAlignment="1">
      <alignment horizontal="center" vertical="center" wrapText="1"/>
    </xf>
    <xf numFmtId="164" fontId="18" fillId="0" borderId="23" xfId="0" applyNumberFormat="1" applyFont="1" applyBorder="1" applyAlignment="1">
      <alignment horizontal="right" vertical="center" wrapText="1"/>
    </xf>
    <xf numFmtId="0" fontId="10" fillId="0" borderId="20" xfId="19" applyFont="1" applyBorder="1" applyAlignment="1">
      <alignment vertical="top"/>
    </xf>
    <xf numFmtId="0" fontId="11" fillId="0" borderId="20" xfId="19" applyFont="1" applyBorder="1" applyAlignment="1">
      <alignment vertical="top" wrapText="1"/>
    </xf>
    <xf numFmtId="0" fontId="11" fillId="0" borderId="20" xfId="19" applyFont="1" applyBorder="1" applyAlignment="1">
      <alignment horizontal="left" vertical="top" wrapText="1"/>
    </xf>
    <xf numFmtId="0" fontId="5" fillId="0" borderId="42" xfId="0" applyFont="1" applyBorder="1" applyAlignment="1">
      <alignment horizontal="center" vertical="center" wrapText="1"/>
    </xf>
    <xf numFmtId="49" fontId="9" fillId="0" borderId="42" xfId="19" applyNumberFormat="1" applyFont="1" applyBorder="1" applyAlignment="1">
      <alignment horizontal="left" vertical="center"/>
    </xf>
    <xf numFmtId="0" fontId="5" fillId="0" borderId="42" xfId="0" applyFont="1" applyBorder="1" applyAlignment="1">
      <alignment horizontal="center" vertical="center"/>
    </xf>
    <xf numFmtId="0" fontId="5" fillId="0" borderId="42" xfId="0" applyFont="1" applyBorder="1" applyAlignment="1">
      <alignment horizontal="right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164" fontId="18" fillId="3" borderId="23" xfId="0" applyNumberFormat="1" applyFont="1" applyFill="1" applyBorder="1" applyAlignment="1">
      <alignment horizontal="right" vertical="center" wrapText="1"/>
    </xf>
    <xf numFmtId="164" fontId="40" fillId="0" borderId="23" xfId="0" applyNumberFormat="1" applyFont="1" applyBorder="1" applyAlignment="1">
      <alignment horizontal="righ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horizontal="left" vertical="center" wrapText="1"/>
    </xf>
    <xf numFmtId="164" fontId="4" fillId="3" borderId="19" xfId="0" applyNumberFormat="1" applyFont="1" applyFill="1" applyBorder="1" applyAlignment="1">
      <alignment horizontal="left" vertical="center" wrapText="1"/>
    </xf>
    <xf numFmtId="164" fontId="6" fillId="3" borderId="19" xfId="0" applyNumberFormat="1" applyFont="1" applyFill="1" applyBorder="1" applyAlignment="1">
      <alignment horizontal="left" vertical="center" wrapText="1"/>
    </xf>
    <xf numFmtId="0" fontId="34" fillId="3" borderId="2" xfId="0" applyFont="1" applyFill="1" applyBorder="1" applyAlignment="1">
      <alignment horizontal="center" vertical="center" wrapText="1"/>
    </xf>
    <xf numFmtId="0" fontId="35" fillId="3" borderId="3" xfId="0" applyFont="1" applyFill="1" applyBorder="1" applyAlignment="1">
      <alignment vertical="center" wrapText="1"/>
    </xf>
    <xf numFmtId="0" fontId="35" fillId="3" borderId="5" xfId="0" applyFont="1" applyFill="1" applyBorder="1" applyAlignment="1">
      <alignment horizontal="left" vertical="center" wrapText="1"/>
    </xf>
    <xf numFmtId="164" fontId="35" fillId="3" borderId="6" xfId="0" applyNumberFormat="1" applyFont="1" applyFill="1" applyBorder="1" applyAlignment="1">
      <alignment horizontal="left" vertical="center" wrapText="1"/>
    </xf>
    <xf numFmtId="164" fontId="36" fillId="3" borderId="6" xfId="0" applyNumberFormat="1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center" vertical="center" wrapText="1"/>
    </xf>
    <xf numFmtId="0" fontId="13" fillId="3" borderId="0" xfId="0" applyFont="1" applyFill="1"/>
    <xf numFmtId="0" fontId="37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21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5" fillId="3" borderId="16" xfId="0" applyFont="1" applyFill="1" applyBorder="1" applyAlignment="1">
      <alignment horizontal="left" vertical="center" wrapText="1"/>
    </xf>
    <xf numFmtId="0" fontId="20" fillId="3" borderId="16" xfId="0" applyFont="1" applyFill="1" applyBorder="1" applyAlignment="1">
      <alignment vertical="center"/>
    </xf>
    <xf numFmtId="0" fontId="5" fillId="0" borderId="0" xfId="0" applyFont="1" applyAlignment="1">
      <alignment horizontal="left" vertical="center" wrapText="1"/>
    </xf>
    <xf numFmtId="0" fontId="20" fillId="0" borderId="0" xfId="0" applyFont="1" applyAlignment="1">
      <alignment vertical="center"/>
    </xf>
    <xf numFmtId="0" fontId="12" fillId="0" borderId="0" xfId="0" applyNumberFormat="1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/>
    </xf>
    <xf numFmtId="0" fontId="5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5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15" fillId="0" borderId="12" xfId="0" applyFont="1" applyBorder="1" applyAlignment="1">
      <alignment horizontal="center" vertical="center" wrapText="1"/>
    </xf>
    <xf numFmtId="0" fontId="14" fillId="0" borderId="13" xfId="0" applyFont="1" applyBorder="1"/>
    <xf numFmtId="0" fontId="14" fillId="0" borderId="14" xfId="0" applyFont="1" applyBorder="1"/>
    <xf numFmtId="0" fontId="14" fillId="3" borderId="28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vertical="center"/>
    </xf>
    <xf numFmtId="0" fontId="14" fillId="0" borderId="28" xfId="0" applyFont="1" applyBorder="1" applyAlignment="1">
      <alignment horizontal="left" vertical="center" wrapText="1"/>
    </xf>
    <xf numFmtId="0" fontId="13" fillId="0" borderId="28" xfId="0" applyFont="1" applyBorder="1" applyAlignment="1">
      <alignment vertical="center"/>
    </xf>
    <xf numFmtId="0" fontId="34" fillId="3" borderId="4" xfId="0" applyFont="1" applyFill="1" applyBorder="1" applyAlignment="1">
      <alignment horizontal="left" vertical="center" wrapText="1"/>
    </xf>
    <xf numFmtId="0" fontId="35" fillId="3" borderId="4" xfId="0" applyFont="1" applyFill="1" applyBorder="1" applyAlignment="1">
      <alignment vertical="center"/>
    </xf>
    <xf numFmtId="0" fontId="14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vertical="center"/>
    </xf>
    <xf numFmtId="0" fontId="14" fillId="0" borderId="0" xfId="0" applyFont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/>
    <xf numFmtId="0" fontId="14" fillId="0" borderId="2" xfId="0" applyFont="1" applyBorder="1" applyAlignment="1">
      <alignment horizontal="center" vertical="center" wrapText="1"/>
    </xf>
    <xf numFmtId="0" fontId="13" fillId="0" borderId="7" xfId="0" applyFont="1" applyBorder="1"/>
    <xf numFmtId="0" fontId="14" fillId="0" borderId="3" xfId="0" applyFont="1" applyBorder="1" applyAlignment="1">
      <alignment horizontal="center" vertical="center" wrapText="1"/>
    </xf>
    <xf numFmtId="0" fontId="13" fillId="0" borderId="4" xfId="0" applyFont="1" applyBorder="1"/>
    <xf numFmtId="0" fontId="13" fillId="0" borderId="5" xfId="0" applyFont="1" applyBorder="1"/>
    <xf numFmtId="0" fontId="13" fillId="0" borderId="8" xfId="0" applyFont="1" applyBorder="1"/>
    <xf numFmtId="0" fontId="13" fillId="0" borderId="9" xfId="0" applyFont="1" applyBorder="1"/>
    <xf numFmtId="0" fontId="14" fillId="0" borderId="6" xfId="0" applyFont="1" applyBorder="1" applyAlignment="1">
      <alignment horizontal="center" vertical="center" wrapText="1"/>
    </xf>
    <xf numFmtId="0" fontId="13" fillId="0" borderId="10" xfId="0" applyFont="1" applyBorder="1"/>
    <xf numFmtId="0" fontId="13" fillId="0" borderId="0" xfId="0" applyFont="1" applyAlignment="1">
      <alignment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2" fillId="0" borderId="0" xfId="0" applyFont="1" applyAlignment="1">
      <alignment horizontal="left" vertical="center" wrapText="1"/>
    </xf>
    <xf numFmtId="0" fontId="19" fillId="0" borderId="0" xfId="0" applyFont="1" applyAlignment="1">
      <alignment vertical="center"/>
    </xf>
  </cellXfs>
  <cellStyles count="49">
    <cellStyle name="Comma" xfId="47" builtinId="3"/>
    <cellStyle name="Comma [0]" xfId="48" builtinId="6"/>
    <cellStyle name="Comma [0] 2" xfId="2" xr:uid="{D0D3DF67-4032-41BD-808B-ABE280C39C74}"/>
    <cellStyle name="Comma [0] 2 2" xfId="10" xr:uid="{88B3E70D-FE99-4342-B64E-D9CA10AF09F3}"/>
    <cellStyle name="Comma [0] 2 2 2" xfId="21" xr:uid="{4B1D4844-65E6-462E-AB6C-17C355313808}"/>
    <cellStyle name="Comma [0] 2 2 2 2" xfId="37" xr:uid="{BB098FCD-6787-4180-B95B-18A926A2CB28}"/>
    <cellStyle name="Comma [0] 2 2 3" xfId="12" xr:uid="{27D30BD6-4C8C-4B00-A22C-3B961EFA0F79}"/>
    <cellStyle name="Comma [0] 2 2 3 2" xfId="16" xr:uid="{D5C1B82B-F29E-42BB-BE1E-74929F281174}"/>
    <cellStyle name="Comma [0] 2 2 3 2 2" xfId="34" xr:uid="{BC3E5874-9CC3-4AF0-B7C8-1308DA00F7D0}"/>
    <cellStyle name="Comma [0] 2 2 3 3" xfId="31" xr:uid="{A93D73FF-DD22-4081-BEA5-234A1AD7C71B}"/>
    <cellStyle name="Comma [0] 2 2 4" xfId="29" xr:uid="{6D2C550B-6A19-4ADC-8844-98E6C6313D62}"/>
    <cellStyle name="Comma [0] 2 3" xfId="32" xr:uid="{F436A6F8-C988-4D3E-B9BA-284B12604DB4}"/>
    <cellStyle name="Comma [0] 2 4" xfId="13" xr:uid="{6AF84918-28FD-456B-A963-EE78CAD20533}"/>
    <cellStyle name="Comma [0] 3" xfId="14" xr:uid="{D0E516E3-3473-440A-810A-0E6FB11D01FD}"/>
    <cellStyle name="Comma [0] 3 2" xfId="25" xr:uid="{BCBA51A4-3404-42B9-9A2B-723B8F7FB052}"/>
    <cellStyle name="Comma [0] 3 2 2" xfId="42" xr:uid="{F9C6DF4F-3462-4D62-AEBD-9E0462E68B9A}"/>
    <cellStyle name="Comma [0] 3 3" xfId="33" xr:uid="{D40D7FA5-4542-4B68-A3F5-22A61EC530E5}"/>
    <cellStyle name="Comma [0] 4" xfId="22" xr:uid="{E64E3D3D-1FCB-40EE-93AF-3FC2ADD3394D}"/>
    <cellStyle name="Comma [0] 4 2" xfId="23" xr:uid="{298CF848-B9CC-4C35-903C-17E9798E9951}"/>
    <cellStyle name="Comma [0] 4 2 2" xfId="39" xr:uid="{54243C58-1E6A-4ADF-AB35-B2FC7BBA1746}"/>
    <cellStyle name="Comma [0] 4 3" xfId="38" xr:uid="{47B74146-DEF5-4351-98D2-44868DD650EB}"/>
    <cellStyle name="Comma [0] 5" xfId="5" xr:uid="{3EAB56E4-C21C-4014-8CCA-8A5777592208}"/>
    <cellStyle name="Comma 10" xfId="4" xr:uid="{188F666A-3918-4D2E-8116-EB0A525978D4}"/>
    <cellStyle name="Comma 2" xfId="26" xr:uid="{E1976DD5-9D17-48F8-8DBA-A0216612F8E5}"/>
    <cellStyle name="Comma 3" xfId="6" xr:uid="{30E6D572-DBF0-4987-8FDD-1A360E0A9309}"/>
    <cellStyle name="Comma 3 2" xfId="24" xr:uid="{92F25CF2-D608-4BFE-B52D-1C38A9391FE7}"/>
    <cellStyle name="Comma 3 2 2" xfId="41" xr:uid="{BFFCBB44-90AB-4879-A152-6C72133491C3}"/>
    <cellStyle name="Comma 3 3" xfId="27" xr:uid="{29B599D9-A300-406F-AEB0-5F0A7471C290}"/>
    <cellStyle name="Comma 4" xfId="40" xr:uid="{9C80D7CA-F10F-42E0-855C-F3301A06F1DF}"/>
    <cellStyle name="Comma 5" xfId="46" xr:uid="{54BD0850-B8B5-4A14-BD81-4149FD04CD0B}"/>
    <cellStyle name="Comma 6" xfId="43" xr:uid="{4B9A419F-2868-41C4-BFF7-554C20FB82FE}"/>
    <cellStyle name="Comma 7" xfId="35" xr:uid="{E94DF0F4-CB14-40ED-9DAC-9D0297030075}"/>
    <cellStyle name="Comma 8" xfId="44" xr:uid="{60451A1D-3FA8-4D05-926A-D3D6D4EF1C9C}"/>
    <cellStyle name="Comma 9" xfId="45" xr:uid="{EBB93392-909B-4992-97AB-2EA57B8E108E}"/>
    <cellStyle name="Normal" xfId="0" builtinId="0"/>
    <cellStyle name="Normal 2" xfId="7" xr:uid="{09B8680C-9BC7-4E39-8548-36A9AD5CBC7E}"/>
    <cellStyle name="Normal 2 2" xfId="1" xr:uid="{AF74FB93-6418-4C48-8E6B-97BB80020095}"/>
    <cellStyle name="Normal 2 2 2" xfId="9" xr:uid="{4474D01B-757D-491E-B298-1D5FB315EA78}"/>
    <cellStyle name="Normal 3" xfId="8" xr:uid="{826A75C1-5133-4FC7-B9B8-83D12BD337CF}"/>
    <cellStyle name="Normal 3 2" xfId="11" xr:uid="{61E544BC-AF23-48D8-9CB8-9FAD3775F09F}"/>
    <cellStyle name="Normal 3 2 2" xfId="20" xr:uid="{B95949CE-B43F-4A79-8280-8DE6E25E176A}"/>
    <cellStyle name="Normal 3 2 2 2" xfId="36" xr:uid="{B7F39A96-C08E-4134-B27C-0B1FD5E31F36}"/>
    <cellStyle name="Normal 3 2 3" xfId="30" xr:uid="{2D12E497-3D40-4905-9D82-A488138B546D}"/>
    <cellStyle name="Normal 3 3" xfId="28" xr:uid="{0D18FE4F-BE0D-40EF-BA37-8DB2F27B59C0}"/>
    <cellStyle name="Normal 4" xfId="3" xr:uid="{8FC7FCE9-20BF-45AC-BB43-595C8BA37ECE}"/>
    <cellStyle name="Normal 4 2" xfId="17" xr:uid="{4990C16B-78DE-48B8-8461-0A8B1E5979EC}"/>
    <cellStyle name="Normal 7" xfId="18" xr:uid="{9524E117-1212-4D9C-922B-8E84249B7354}"/>
    <cellStyle name="Normal_anggaran yg bener ppk 573" xfId="19" xr:uid="{7C65BEAA-BE3A-48B0-9F6D-E7A4E9355EEE}"/>
    <cellStyle name="Percent 2" xfId="15" xr:uid="{3D889AFC-0B3E-4B61-8448-6F408513AC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190500</xdr:colOff>
      <xdr:row>39</xdr:row>
      <xdr:rowOff>0</xdr:rowOff>
    </xdr:from>
    <xdr:ext cx="0" cy="17145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2A190DE-A284-4FBE-BBE9-182B2CD338AB}"/>
            </a:ext>
          </a:extLst>
        </xdr:cNvPr>
        <xdr:cNvSpPr txBox="1"/>
      </xdr:nvSpPr>
      <xdr:spPr>
        <a:xfrm>
          <a:off x="9921240" y="966978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9</xdr:col>
      <xdr:colOff>190500</xdr:colOff>
      <xdr:row>39</xdr:row>
      <xdr:rowOff>0</xdr:rowOff>
    </xdr:from>
    <xdr:ext cx="0" cy="17145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1E13B82-DF9A-40CE-9392-17C228FE20D9}"/>
            </a:ext>
          </a:extLst>
        </xdr:cNvPr>
        <xdr:cNvSpPr txBox="1"/>
      </xdr:nvSpPr>
      <xdr:spPr>
        <a:xfrm>
          <a:off x="8549640" y="966978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39</xdr:row>
      <xdr:rowOff>0</xdr:rowOff>
    </xdr:from>
    <xdr:ext cx="0" cy="1714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CDD53FC-C83F-4737-AD85-15DFA27E3537}"/>
            </a:ext>
          </a:extLst>
        </xdr:cNvPr>
        <xdr:cNvSpPr txBox="1"/>
      </xdr:nvSpPr>
      <xdr:spPr>
        <a:xfrm>
          <a:off x="9921240" y="966978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39</xdr:row>
      <xdr:rowOff>95250</xdr:rowOff>
    </xdr:from>
    <xdr:ext cx="0" cy="1714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4D9453D-5CBC-4CB2-BDC0-284249D52227}"/>
            </a:ext>
          </a:extLst>
        </xdr:cNvPr>
        <xdr:cNvSpPr txBox="1"/>
      </xdr:nvSpPr>
      <xdr:spPr>
        <a:xfrm>
          <a:off x="9921240" y="976503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39</xdr:row>
      <xdr:rowOff>95250</xdr:rowOff>
    </xdr:from>
    <xdr:ext cx="0" cy="1714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E3618B0-598D-4A13-994C-A138E08D15F7}"/>
            </a:ext>
          </a:extLst>
        </xdr:cNvPr>
        <xdr:cNvSpPr txBox="1"/>
      </xdr:nvSpPr>
      <xdr:spPr>
        <a:xfrm>
          <a:off x="9921240" y="976503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9</xdr:col>
      <xdr:colOff>190500</xdr:colOff>
      <xdr:row>39</xdr:row>
      <xdr:rowOff>95250</xdr:rowOff>
    </xdr:from>
    <xdr:ext cx="0" cy="1714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285EFFB-4E81-47BB-9C48-2479BF12412B}"/>
            </a:ext>
          </a:extLst>
        </xdr:cNvPr>
        <xdr:cNvSpPr txBox="1"/>
      </xdr:nvSpPr>
      <xdr:spPr>
        <a:xfrm>
          <a:off x="8549640" y="976503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9</xdr:col>
      <xdr:colOff>190500</xdr:colOff>
      <xdr:row>39</xdr:row>
      <xdr:rowOff>95250</xdr:rowOff>
    </xdr:from>
    <xdr:ext cx="0" cy="1714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39C4D6E-D7D8-4194-BB65-8FEC9F75B548}"/>
            </a:ext>
          </a:extLst>
        </xdr:cNvPr>
        <xdr:cNvSpPr txBox="1"/>
      </xdr:nvSpPr>
      <xdr:spPr>
        <a:xfrm>
          <a:off x="8549640" y="976503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39</xdr:row>
      <xdr:rowOff>95250</xdr:rowOff>
    </xdr:from>
    <xdr:ext cx="0" cy="1714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71FAA57-1DF9-4E4A-BD60-38653AE48F9E}"/>
            </a:ext>
          </a:extLst>
        </xdr:cNvPr>
        <xdr:cNvSpPr txBox="1"/>
      </xdr:nvSpPr>
      <xdr:spPr>
        <a:xfrm>
          <a:off x="9921240" y="976503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39</xdr:row>
      <xdr:rowOff>95250</xdr:rowOff>
    </xdr:from>
    <xdr:ext cx="0" cy="1714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3AC4C0A-9B08-4EAD-918C-7913B7773DF1}"/>
            </a:ext>
          </a:extLst>
        </xdr:cNvPr>
        <xdr:cNvSpPr txBox="1"/>
      </xdr:nvSpPr>
      <xdr:spPr>
        <a:xfrm>
          <a:off x="9921240" y="976503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190500</xdr:colOff>
      <xdr:row>32</xdr:row>
      <xdr:rowOff>0</xdr:rowOff>
    </xdr:from>
    <xdr:ext cx="0" cy="17145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5BCF536-B137-414F-890C-1D5BC00F149D}"/>
            </a:ext>
          </a:extLst>
        </xdr:cNvPr>
        <xdr:cNvSpPr txBox="1"/>
      </xdr:nvSpPr>
      <xdr:spPr>
        <a:xfrm>
          <a:off x="9296400" y="7934325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123825</xdr:colOff>
      <xdr:row>57</xdr:row>
      <xdr:rowOff>0</xdr:rowOff>
    </xdr:from>
    <xdr:ext cx="0" cy="17145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F568E8C-E24A-49F1-BCF3-8732DB081FCE}"/>
            </a:ext>
          </a:extLst>
        </xdr:cNvPr>
        <xdr:cNvSpPr txBox="1"/>
      </xdr:nvSpPr>
      <xdr:spPr>
        <a:xfrm>
          <a:off x="9229725" y="120967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57</xdr:row>
      <xdr:rowOff>0</xdr:rowOff>
    </xdr:from>
    <xdr:ext cx="0" cy="1714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E63A43D-A31D-4DB5-917B-AA1348899088}"/>
            </a:ext>
          </a:extLst>
        </xdr:cNvPr>
        <xdr:cNvSpPr txBox="1"/>
      </xdr:nvSpPr>
      <xdr:spPr>
        <a:xfrm>
          <a:off x="9296400" y="113347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57</xdr:row>
      <xdr:rowOff>0</xdr:rowOff>
    </xdr:from>
    <xdr:ext cx="0" cy="1714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4F07211-E81D-4549-9242-45847A51F947}"/>
            </a:ext>
          </a:extLst>
        </xdr:cNvPr>
        <xdr:cNvSpPr txBox="1"/>
      </xdr:nvSpPr>
      <xdr:spPr>
        <a:xfrm>
          <a:off x="9296400" y="11668125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57</xdr:row>
      <xdr:rowOff>0</xdr:rowOff>
    </xdr:from>
    <xdr:ext cx="0" cy="1714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9238E77-55E9-459E-B4D3-D302855F4172}"/>
            </a:ext>
          </a:extLst>
        </xdr:cNvPr>
        <xdr:cNvSpPr txBox="1"/>
      </xdr:nvSpPr>
      <xdr:spPr>
        <a:xfrm>
          <a:off x="9296400" y="11668125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57</xdr:row>
      <xdr:rowOff>0</xdr:rowOff>
    </xdr:from>
    <xdr:ext cx="0" cy="1714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7C1C3AA-A1BC-4D0F-BD6D-6920180D8C3D}"/>
            </a:ext>
          </a:extLst>
        </xdr:cNvPr>
        <xdr:cNvSpPr txBox="1"/>
      </xdr:nvSpPr>
      <xdr:spPr>
        <a:xfrm>
          <a:off x="9296400" y="1375410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57</xdr:row>
      <xdr:rowOff>0</xdr:rowOff>
    </xdr:from>
    <xdr:ext cx="0" cy="1714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81BCA1B-F7E7-420A-9600-80BE27253165}"/>
            </a:ext>
          </a:extLst>
        </xdr:cNvPr>
        <xdr:cNvSpPr txBox="1"/>
      </xdr:nvSpPr>
      <xdr:spPr>
        <a:xfrm>
          <a:off x="9296400" y="120967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57</xdr:row>
      <xdr:rowOff>0</xdr:rowOff>
    </xdr:from>
    <xdr:ext cx="0" cy="1714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E402F11-B3B2-4BB7-9CD6-7E4F43B6E3FD}"/>
            </a:ext>
          </a:extLst>
        </xdr:cNvPr>
        <xdr:cNvSpPr txBox="1"/>
      </xdr:nvSpPr>
      <xdr:spPr>
        <a:xfrm>
          <a:off x="9296400" y="120967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57</xdr:row>
      <xdr:rowOff>0</xdr:rowOff>
    </xdr:from>
    <xdr:ext cx="0" cy="1714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7E64E38-89D4-4D8D-983D-7F1915D493A9}"/>
            </a:ext>
          </a:extLst>
        </xdr:cNvPr>
        <xdr:cNvSpPr txBox="1"/>
      </xdr:nvSpPr>
      <xdr:spPr>
        <a:xfrm>
          <a:off x="9296400" y="1219200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57</xdr:row>
      <xdr:rowOff>0</xdr:rowOff>
    </xdr:from>
    <xdr:ext cx="0" cy="1714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AD34883-27D6-49D5-9B3B-027D7F6EC3CA}"/>
            </a:ext>
          </a:extLst>
        </xdr:cNvPr>
        <xdr:cNvSpPr txBox="1"/>
      </xdr:nvSpPr>
      <xdr:spPr>
        <a:xfrm>
          <a:off x="9296400" y="1219200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57</xdr:row>
      <xdr:rowOff>0</xdr:rowOff>
    </xdr:from>
    <xdr:ext cx="0" cy="1714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E0EECEA-7F51-4561-BBDF-37A63226DAF6}"/>
            </a:ext>
          </a:extLst>
        </xdr:cNvPr>
        <xdr:cNvSpPr txBox="1"/>
      </xdr:nvSpPr>
      <xdr:spPr>
        <a:xfrm>
          <a:off x="9296400" y="1219200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57</xdr:row>
      <xdr:rowOff>0</xdr:rowOff>
    </xdr:from>
    <xdr:ext cx="0" cy="1714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8D2DF70-FF79-42C3-A136-35B93E8497EA}"/>
            </a:ext>
          </a:extLst>
        </xdr:cNvPr>
        <xdr:cNvSpPr txBox="1"/>
      </xdr:nvSpPr>
      <xdr:spPr>
        <a:xfrm>
          <a:off x="9296400" y="1219200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57</xdr:row>
      <xdr:rowOff>0</xdr:rowOff>
    </xdr:from>
    <xdr:ext cx="0" cy="1714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E9BEEB9-4067-49E7-96D6-A9FAB7A5093B}"/>
            </a:ext>
          </a:extLst>
        </xdr:cNvPr>
        <xdr:cNvSpPr txBox="1"/>
      </xdr:nvSpPr>
      <xdr:spPr>
        <a:xfrm>
          <a:off x="9296400" y="125920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57</xdr:row>
      <xdr:rowOff>0</xdr:rowOff>
    </xdr:from>
    <xdr:ext cx="0" cy="1714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D2964106-940F-470C-A2C2-9E3BB2F1B4BC}"/>
            </a:ext>
          </a:extLst>
        </xdr:cNvPr>
        <xdr:cNvSpPr txBox="1"/>
      </xdr:nvSpPr>
      <xdr:spPr>
        <a:xfrm>
          <a:off x="9296400" y="125920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9</xdr:col>
      <xdr:colOff>190500</xdr:colOff>
      <xdr:row>32</xdr:row>
      <xdr:rowOff>0</xdr:rowOff>
    </xdr:from>
    <xdr:ext cx="0" cy="1714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BEF0854-1F9C-4ADF-8AB2-7A9F9076BE51}"/>
            </a:ext>
          </a:extLst>
        </xdr:cNvPr>
        <xdr:cNvSpPr txBox="1"/>
      </xdr:nvSpPr>
      <xdr:spPr>
        <a:xfrm>
          <a:off x="7953375" y="7934325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9</xdr:col>
      <xdr:colOff>123825</xdr:colOff>
      <xdr:row>57</xdr:row>
      <xdr:rowOff>0</xdr:rowOff>
    </xdr:from>
    <xdr:ext cx="0" cy="1714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DBEBA30-8DCD-41CD-8022-A2AA1C2972B5}"/>
            </a:ext>
          </a:extLst>
        </xdr:cNvPr>
        <xdr:cNvSpPr txBox="1"/>
      </xdr:nvSpPr>
      <xdr:spPr>
        <a:xfrm>
          <a:off x="7886700" y="120967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9</xdr:col>
      <xdr:colOff>190500</xdr:colOff>
      <xdr:row>57</xdr:row>
      <xdr:rowOff>0</xdr:rowOff>
    </xdr:from>
    <xdr:ext cx="0" cy="17145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DF62A33D-45A8-49E6-88C5-8723318E1D44}"/>
            </a:ext>
          </a:extLst>
        </xdr:cNvPr>
        <xdr:cNvSpPr txBox="1"/>
      </xdr:nvSpPr>
      <xdr:spPr>
        <a:xfrm>
          <a:off x="7953375" y="11363325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9</xdr:col>
      <xdr:colOff>190500</xdr:colOff>
      <xdr:row>57</xdr:row>
      <xdr:rowOff>0</xdr:rowOff>
    </xdr:from>
    <xdr:ext cx="0" cy="1714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9A00B6C5-023A-4A16-98D1-E14218EF6805}"/>
            </a:ext>
          </a:extLst>
        </xdr:cNvPr>
        <xdr:cNvSpPr txBox="1"/>
      </xdr:nvSpPr>
      <xdr:spPr>
        <a:xfrm>
          <a:off x="7953375" y="11668125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9</xdr:col>
      <xdr:colOff>190500</xdr:colOff>
      <xdr:row>57</xdr:row>
      <xdr:rowOff>0</xdr:rowOff>
    </xdr:from>
    <xdr:ext cx="0" cy="1714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BDAFAE4B-5EA5-4194-9180-74604DD83045}"/>
            </a:ext>
          </a:extLst>
        </xdr:cNvPr>
        <xdr:cNvSpPr txBox="1"/>
      </xdr:nvSpPr>
      <xdr:spPr>
        <a:xfrm>
          <a:off x="7953375" y="11668125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9</xdr:col>
      <xdr:colOff>190500</xdr:colOff>
      <xdr:row>57</xdr:row>
      <xdr:rowOff>0</xdr:rowOff>
    </xdr:from>
    <xdr:ext cx="0" cy="1714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ED15A15-7EE3-4B3C-B0E4-ED6447E25929}"/>
            </a:ext>
          </a:extLst>
        </xdr:cNvPr>
        <xdr:cNvSpPr txBox="1"/>
      </xdr:nvSpPr>
      <xdr:spPr>
        <a:xfrm>
          <a:off x="7953375" y="120967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9</xdr:col>
      <xdr:colOff>190500</xdr:colOff>
      <xdr:row>57</xdr:row>
      <xdr:rowOff>0</xdr:rowOff>
    </xdr:from>
    <xdr:ext cx="0" cy="17145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F48C9823-2298-4360-AC19-7BF119553812}"/>
            </a:ext>
          </a:extLst>
        </xdr:cNvPr>
        <xdr:cNvSpPr txBox="1"/>
      </xdr:nvSpPr>
      <xdr:spPr>
        <a:xfrm>
          <a:off x="7953375" y="120967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9</xdr:col>
      <xdr:colOff>190500</xdr:colOff>
      <xdr:row>57</xdr:row>
      <xdr:rowOff>0</xdr:rowOff>
    </xdr:from>
    <xdr:ext cx="0" cy="1714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C8F67543-6674-4DD5-B598-7991073FFFC5}"/>
            </a:ext>
          </a:extLst>
        </xdr:cNvPr>
        <xdr:cNvSpPr txBox="1"/>
      </xdr:nvSpPr>
      <xdr:spPr>
        <a:xfrm>
          <a:off x="7953375" y="1219200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9</xdr:col>
      <xdr:colOff>190500</xdr:colOff>
      <xdr:row>57</xdr:row>
      <xdr:rowOff>0</xdr:rowOff>
    </xdr:from>
    <xdr:ext cx="0" cy="1714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7881526F-A80B-4A12-809D-ED91EA9B0010}"/>
            </a:ext>
          </a:extLst>
        </xdr:cNvPr>
        <xdr:cNvSpPr txBox="1"/>
      </xdr:nvSpPr>
      <xdr:spPr>
        <a:xfrm>
          <a:off x="7953375" y="1219200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9</xdr:col>
      <xdr:colOff>190500</xdr:colOff>
      <xdr:row>57</xdr:row>
      <xdr:rowOff>0</xdr:rowOff>
    </xdr:from>
    <xdr:ext cx="0" cy="17145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E25DD00A-094F-4ADE-B4B4-15A83010C564}"/>
            </a:ext>
          </a:extLst>
        </xdr:cNvPr>
        <xdr:cNvSpPr txBox="1"/>
      </xdr:nvSpPr>
      <xdr:spPr>
        <a:xfrm>
          <a:off x="7953375" y="1219200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9</xdr:col>
      <xdr:colOff>190500</xdr:colOff>
      <xdr:row>57</xdr:row>
      <xdr:rowOff>0</xdr:rowOff>
    </xdr:from>
    <xdr:ext cx="0" cy="1714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270AC321-733A-4605-A3A5-04BE5502B901}"/>
            </a:ext>
          </a:extLst>
        </xdr:cNvPr>
        <xdr:cNvSpPr txBox="1"/>
      </xdr:nvSpPr>
      <xdr:spPr>
        <a:xfrm>
          <a:off x="7953375" y="1219200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9</xdr:col>
      <xdr:colOff>190500</xdr:colOff>
      <xdr:row>57</xdr:row>
      <xdr:rowOff>0</xdr:rowOff>
    </xdr:from>
    <xdr:ext cx="0" cy="1714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45252E18-7CBA-4AF3-9D4F-FA484E1B9D03}"/>
            </a:ext>
          </a:extLst>
        </xdr:cNvPr>
        <xdr:cNvSpPr txBox="1"/>
      </xdr:nvSpPr>
      <xdr:spPr>
        <a:xfrm>
          <a:off x="7953375" y="125920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9</xdr:col>
      <xdr:colOff>190500</xdr:colOff>
      <xdr:row>57</xdr:row>
      <xdr:rowOff>0</xdr:rowOff>
    </xdr:from>
    <xdr:ext cx="0" cy="1714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B4E08412-F130-475F-894E-7731DE976F85}"/>
            </a:ext>
          </a:extLst>
        </xdr:cNvPr>
        <xdr:cNvSpPr txBox="1"/>
      </xdr:nvSpPr>
      <xdr:spPr>
        <a:xfrm>
          <a:off x="7953375" y="125920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32</xdr:row>
      <xdr:rowOff>0</xdr:rowOff>
    </xdr:from>
    <xdr:ext cx="0" cy="17145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84DCEE76-60CC-454E-A56B-E3954B304EE2}"/>
            </a:ext>
          </a:extLst>
        </xdr:cNvPr>
        <xdr:cNvSpPr txBox="1"/>
      </xdr:nvSpPr>
      <xdr:spPr>
        <a:xfrm>
          <a:off x="9296400" y="8029575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57</xdr:row>
      <xdr:rowOff>0</xdr:rowOff>
    </xdr:from>
    <xdr:ext cx="0" cy="17145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861903BB-73ED-4AD7-A3AA-7053E72604CA}"/>
            </a:ext>
          </a:extLst>
        </xdr:cNvPr>
        <xdr:cNvSpPr txBox="1"/>
      </xdr:nvSpPr>
      <xdr:spPr>
        <a:xfrm>
          <a:off x="9296400" y="113347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57</xdr:row>
      <xdr:rowOff>0</xdr:rowOff>
    </xdr:from>
    <xdr:ext cx="0" cy="17145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777FB1C3-6974-4E6A-947B-6E515280118D}"/>
            </a:ext>
          </a:extLst>
        </xdr:cNvPr>
        <xdr:cNvSpPr txBox="1"/>
      </xdr:nvSpPr>
      <xdr:spPr>
        <a:xfrm>
          <a:off x="9296400" y="11668125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57</xdr:row>
      <xdr:rowOff>0</xdr:rowOff>
    </xdr:from>
    <xdr:ext cx="0" cy="17145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4A8F682C-9458-49D5-99F9-BF09B6D2DCE3}"/>
            </a:ext>
          </a:extLst>
        </xdr:cNvPr>
        <xdr:cNvSpPr txBox="1"/>
      </xdr:nvSpPr>
      <xdr:spPr>
        <a:xfrm>
          <a:off x="9296400" y="11668125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57</xdr:row>
      <xdr:rowOff>0</xdr:rowOff>
    </xdr:from>
    <xdr:ext cx="0" cy="17145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E85A8766-ADC1-4EE1-9067-8FDAEDA0538E}"/>
            </a:ext>
          </a:extLst>
        </xdr:cNvPr>
        <xdr:cNvSpPr txBox="1"/>
      </xdr:nvSpPr>
      <xdr:spPr>
        <a:xfrm>
          <a:off x="9296400" y="120967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57</xdr:row>
      <xdr:rowOff>0</xdr:rowOff>
    </xdr:from>
    <xdr:ext cx="0" cy="17145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406CCC0D-6CB2-424C-A5E7-F554B2741A7F}"/>
            </a:ext>
          </a:extLst>
        </xdr:cNvPr>
        <xdr:cNvSpPr txBox="1"/>
      </xdr:nvSpPr>
      <xdr:spPr>
        <a:xfrm>
          <a:off x="9296400" y="120967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57</xdr:row>
      <xdr:rowOff>0</xdr:rowOff>
    </xdr:from>
    <xdr:ext cx="0" cy="17145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DF885255-972E-4433-B4E8-D9640C5D0AB6}"/>
            </a:ext>
          </a:extLst>
        </xdr:cNvPr>
        <xdr:cNvSpPr txBox="1"/>
      </xdr:nvSpPr>
      <xdr:spPr>
        <a:xfrm>
          <a:off x="9296400" y="1219200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57</xdr:row>
      <xdr:rowOff>0</xdr:rowOff>
    </xdr:from>
    <xdr:ext cx="0" cy="17145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1E82C83E-8D72-415E-8FB9-86291EB8139E}"/>
            </a:ext>
          </a:extLst>
        </xdr:cNvPr>
        <xdr:cNvSpPr txBox="1"/>
      </xdr:nvSpPr>
      <xdr:spPr>
        <a:xfrm>
          <a:off x="9296400" y="1219200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57</xdr:row>
      <xdr:rowOff>0</xdr:rowOff>
    </xdr:from>
    <xdr:ext cx="0" cy="17145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B495A002-80E3-46D9-A875-69ABC7B6D30B}"/>
            </a:ext>
          </a:extLst>
        </xdr:cNvPr>
        <xdr:cNvSpPr txBox="1"/>
      </xdr:nvSpPr>
      <xdr:spPr>
        <a:xfrm>
          <a:off x="9296400" y="125920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123825</xdr:colOff>
      <xdr:row>57</xdr:row>
      <xdr:rowOff>0</xdr:rowOff>
    </xdr:from>
    <xdr:ext cx="0" cy="17145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B1528DFF-DBBA-4D00-A065-351625AD9729}"/>
            </a:ext>
          </a:extLst>
        </xdr:cNvPr>
        <xdr:cNvSpPr txBox="1"/>
      </xdr:nvSpPr>
      <xdr:spPr>
        <a:xfrm>
          <a:off x="9229725" y="120967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57</xdr:row>
      <xdr:rowOff>0</xdr:rowOff>
    </xdr:from>
    <xdr:ext cx="0" cy="17145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27205587-6C58-46C3-A5B9-07CF0F88328C}"/>
            </a:ext>
          </a:extLst>
        </xdr:cNvPr>
        <xdr:cNvSpPr txBox="1"/>
      </xdr:nvSpPr>
      <xdr:spPr>
        <a:xfrm>
          <a:off x="9296400" y="120967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57</xdr:row>
      <xdr:rowOff>0</xdr:rowOff>
    </xdr:from>
    <xdr:ext cx="0" cy="17145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E779A61F-2328-4F9D-A0E1-8AFB0E3E1E68}"/>
            </a:ext>
          </a:extLst>
        </xdr:cNvPr>
        <xdr:cNvSpPr txBox="1"/>
      </xdr:nvSpPr>
      <xdr:spPr>
        <a:xfrm>
          <a:off x="9296400" y="120967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9</xdr:col>
      <xdr:colOff>123825</xdr:colOff>
      <xdr:row>57</xdr:row>
      <xdr:rowOff>0</xdr:rowOff>
    </xdr:from>
    <xdr:ext cx="0" cy="17145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1CBBDEA0-F394-4520-AC76-3971D65510F4}"/>
            </a:ext>
          </a:extLst>
        </xdr:cNvPr>
        <xdr:cNvSpPr txBox="1"/>
      </xdr:nvSpPr>
      <xdr:spPr>
        <a:xfrm>
          <a:off x="7886700" y="120967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9</xdr:col>
      <xdr:colOff>190500</xdr:colOff>
      <xdr:row>57</xdr:row>
      <xdr:rowOff>0</xdr:rowOff>
    </xdr:from>
    <xdr:ext cx="0" cy="17145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D35C73F9-8791-4F88-9C0C-72C60E8DCB33}"/>
            </a:ext>
          </a:extLst>
        </xdr:cNvPr>
        <xdr:cNvSpPr txBox="1"/>
      </xdr:nvSpPr>
      <xdr:spPr>
        <a:xfrm>
          <a:off x="7953375" y="120967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9</xdr:col>
      <xdr:colOff>190500</xdr:colOff>
      <xdr:row>57</xdr:row>
      <xdr:rowOff>0</xdr:rowOff>
    </xdr:from>
    <xdr:ext cx="0" cy="17145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25ADDF3F-4DF1-48E7-8403-53961F53FE46}"/>
            </a:ext>
          </a:extLst>
        </xdr:cNvPr>
        <xdr:cNvSpPr txBox="1"/>
      </xdr:nvSpPr>
      <xdr:spPr>
        <a:xfrm>
          <a:off x="7953375" y="120967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57</xdr:row>
      <xdr:rowOff>0</xdr:rowOff>
    </xdr:from>
    <xdr:ext cx="0" cy="17145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B075ED2B-DB55-4E2C-B667-1C4C875D6997}"/>
            </a:ext>
          </a:extLst>
        </xdr:cNvPr>
        <xdr:cNvSpPr txBox="1"/>
      </xdr:nvSpPr>
      <xdr:spPr>
        <a:xfrm>
          <a:off x="9296400" y="120967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57</xdr:row>
      <xdr:rowOff>0</xdr:rowOff>
    </xdr:from>
    <xdr:ext cx="0" cy="17145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9606F94B-2D61-4CFF-ACFF-8D135735FA50}"/>
            </a:ext>
          </a:extLst>
        </xdr:cNvPr>
        <xdr:cNvSpPr txBox="1"/>
      </xdr:nvSpPr>
      <xdr:spPr>
        <a:xfrm>
          <a:off x="9296400" y="120967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57</xdr:row>
      <xdr:rowOff>0</xdr:rowOff>
    </xdr:from>
    <xdr:ext cx="0" cy="17145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6A391204-3BE7-4244-A15C-427E839D7919}"/>
            </a:ext>
          </a:extLst>
        </xdr:cNvPr>
        <xdr:cNvSpPr txBox="1"/>
      </xdr:nvSpPr>
      <xdr:spPr>
        <a:xfrm>
          <a:off x="9296400" y="1375410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57</xdr:row>
      <xdr:rowOff>0</xdr:rowOff>
    </xdr:from>
    <xdr:ext cx="0" cy="17145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4D1829E3-9410-42AC-96C0-2CF21E24837C}"/>
            </a:ext>
          </a:extLst>
        </xdr:cNvPr>
        <xdr:cNvSpPr txBox="1"/>
      </xdr:nvSpPr>
      <xdr:spPr>
        <a:xfrm>
          <a:off x="9296400" y="1375410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9</xdr:col>
      <xdr:colOff>190500</xdr:colOff>
      <xdr:row>57</xdr:row>
      <xdr:rowOff>0</xdr:rowOff>
    </xdr:from>
    <xdr:ext cx="0" cy="17145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322A9F1D-5E6B-45B8-A053-53A87BFE7550}"/>
            </a:ext>
          </a:extLst>
        </xdr:cNvPr>
        <xdr:cNvSpPr txBox="1"/>
      </xdr:nvSpPr>
      <xdr:spPr>
        <a:xfrm>
          <a:off x="7953375" y="1375410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9</xdr:col>
      <xdr:colOff>190500</xdr:colOff>
      <xdr:row>57</xdr:row>
      <xdr:rowOff>0</xdr:rowOff>
    </xdr:from>
    <xdr:ext cx="0" cy="17145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42E01F4F-F4F1-4E0A-BB72-6EEEA566ADEB}"/>
            </a:ext>
          </a:extLst>
        </xdr:cNvPr>
        <xdr:cNvSpPr txBox="1"/>
      </xdr:nvSpPr>
      <xdr:spPr>
        <a:xfrm>
          <a:off x="7953375" y="1375410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57</xdr:row>
      <xdr:rowOff>0</xdr:rowOff>
    </xdr:from>
    <xdr:ext cx="0" cy="17145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ACA6A0B6-FA9B-4604-A230-51C54C39C9E5}"/>
            </a:ext>
          </a:extLst>
        </xdr:cNvPr>
        <xdr:cNvSpPr txBox="1"/>
      </xdr:nvSpPr>
      <xdr:spPr>
        <a:xfrm>
          <a:off x="9296400" y="1375410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57</xdr:row>
      <xdr:rowOff>0</xdr:rowOff>
    </xdr:from>
    <xdr:ext cx="0" cy="17145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E685D4E3-A5BB-47A0-B010-852C77743CBF}"/>
            </a:ext>
          </a:extLst>
        </xdr:cNvPr>
        <xdr:cNvSpPr txBox="1"/>
      </xdr:nvSpPr>
      <xdr:spPr>
        <a:xfrm>
          <a:off x="9296400" y="134302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57</xdr:row>
      <xdr:rowOff>0</xdr:rowOff>
    </xdr:from>
    <xdr:ext cx="0" cy="17145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78DC120A-BB3A-4DA3-BBCC-4D1FB565C1FF}"/>
            </a:ext>
          </a:extLst>
        </xdr:cNvPr>
        <xdr:cNvSpPr txBox="1"/>
      </xdr:nvSpPr>
      <xdr:spPr>
        <a:xfrm>
          <a:off x="9296400" y="134302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9</xdr:col>
      <xdr:colOff>190500</xdr:colOff>
      <xdr:row>57</xdr:row>
      <xdr:rowOff>0</xdr:rowOff>
    </xdr:from>
    <xdr:ext cx="0" cy="17145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3271EFC9-3C1F-4F18-9D62-A2FD052EC158}"/>
            </a:ext>
          </a:extLst>
        </xdr:cNvPr>
        <xdr:cNvSpPr txBox="1"/>
      </xdr:nvSpPr>
      <xdr:spPr>
        <a:xfrm>
          <a:off x="7953375" y="134302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9</xdr:col>
      <xdr:colOff>190500</xdr:colOff>
      <xdr:row>57</xdr:row>
      <xdr:rowOff>0</xdr:rowOff>
    </xdr:from>
    <xdr:ext cx="0" cy="17145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AF33BEE6-29F5-42C2-B58B-893D88B04807}"/>
            </a:ext>
          </a:extLst>
        </xdr:cNvPr>
        <xdr:cNvSpPr txBox="1"/>
      </xdr:nvSpPr>
      <xdr:spPr>
        <a:xfrm>
          <a:off x="7953375" y="134302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57</xdr:row>
      <xdr:rowOff>0</xdr:rowOff>
    </xdr:from>
    <xdr:ext cx="0" cy="17145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61ECC19E-0BC6-471A-A1A2-7BA169A34069}"/>
            </a:ext>
          </a:extLst>
        </xdr:cNvPr>
        <xdr:cNvSpPr txBox="1"/>
      </xdr:nvSpPr>
      <xdr:spPr>
        <a:xfrm>
          <a:off x="9296400" y="134302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57</xdr:row>
      <xdr:rowOff>0</xdr:rowOff>
    </xdr:from>
    <xdr:ext cx="0" cy="17145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96847312-7070-41F8-86CF-501B6DA03846}"/>
            </a:ext>
          </a:extLst>
        </xdr:cNvPr>
        <xdr:cNvSpPr txBox="1"/>
      </xdr:nvSpPr>
      <xdr:spPr>
        <a:xfrm>
          <a:off x="9296400" y="11763375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57</xdr:row>
      <xdr:rowOff>0</xdr:rowOff>
    </xdr:from>
    <xdr:ext cx="0" cy="17145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62613C4C-BBD2-4BEA-896D-D314F2085228}"/>
            </a:ext>
          </a:extLst>
        </xdr:cNvPr>
        <xdr:cNvSpPr txBox="1"/>
      </xdr:nvSpPr>
      <xdr:spPr>
        <a:xfrm>
          <a:off x="9296400" y="11763375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9</xdr:col>
      <xdr:colOff>190500</xdr:colOff>
      <xdr:row>57</xdr:row>
      <xdr:rowOff>0</xdr:rowOff>
    </xdr:from>
    <xdr:ext cx="0" cy="17145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CFB8BC0D-7BBC-41FF-AD45-D5DDE5325E82}"/>
            </a:ext>
          </a:extLst>
        </xdr:cNvPr>
        <xdr:cNvSpPr txBox="1"/>
      </xdr:nvSpPr>
      <xdr:spPr>
        <a:xfrm>
          <a:off x="7953375" y="11763375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9</xdr:col>
      <xdr:colOff>190500</xdr:colOff>
      <xdr:row>57</xdr:row>
      <xdr:rowOff>0</xdr:rowOff>
    </xdr:from>
    <xdr:ext cx="0" cy="17145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E22685D3-4ABB-4A19-B774-94AE038B9800}"/>
            </a:ext>
          </a:extLst>
        </xdr:cNvPr>
        <xdr:cNvSpPr txBox="1"/>
      </xdr:nvSpPr>
      <xdr:spPr>
        <a:xfrm>
          <a:off x="7953375" y="11763375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57</xdr:row>
      <xdr:rowOff>0</xdr:rowOff>
    </xdr:from>
    <xdr:ext cx="0" cy="17145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9CF1D79-3A0A-4CF2-9DEB-27209EE0CB3D}"/>
            </a:ext>
          </a:extLst>
        </xdr:cNvPr>
        <xdr:cNvSpPr txBox="1"/>
      </xdr:nvSpPr>
      <xdr:spPr>
        <a:xfrm>
          <a:off x="9296400" y="11763375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57</xdr:row>
      <xdr:rowOff>0</xdr:rowOff>
    </xdr:from>
    <xdr:ext cx="0" cy="17145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60BC1C12-08EF-46A6-8191-581AFC565B1E}"/>
            </a:ext>
          </a:extLst>
        </xdr:cNvPr>
        <xdr:cNvSpPr txBox="1"/>
      </xdr:nvSpPr>
      <xdr:spPr>
        <a:xfrm>
          <a:off x="9296400" y="130111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57</xdr:row>
      <xdr:rowOff>0</xdr:rowOff>
    </xdr:from>
    <xdr:ext cx="0" cy="17145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EABD98FC-00F3-460F-B0D1-257D8E5294AB}"/>
            </a:ext>
          </a:extLst>
        </xdr:cNvPr>
        <xdr:cNvSpPr txBox="1"/>
      </xdr:nvSpPr>
      <xdr:spPr>
        <a:xfrm>
          <a:off x="9296400" y="130111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9</xdr:col>
      <xdr:colOff>190500</xdr:colOff>
      <xdr:row>57</xdr:row>
      <xdr:rowOff>0</xdr:rowOff>
    </xdr:from>
    <xdr:ext cx="0" cy="17145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7E99483C-604F-4F39-A816-B6DA4E250C87}"/>
            </a:ext>
          </a:extLst>
        </xdr:cNvPr>
        <xdr:cNvSpPr txBox="1"/>
      </xdr:nvSpPr>
      <xdr:spPr>
        <a:xfrm>
          <a:off x="7953375" y="130111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9</xdr:col>
      <xdr:colOff>190500</xdr:colOff>
      <xdr:row>57</xdr:row>
      <xdr:rowOff>0</xdr:rowOff>
    </xdr:from>
    <xdr:ext cx="0" cy="17145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1D36DB67-2153-4F39-8307-21F096014995}"/>
            </a:ext>
          </a:extLst>
        </xdr:cNvPr>
        <xdr:cNvSpPr txBox="1"/>
      </xdr:nvSpPr>
      <xdr:spPr>
        <a:xfrm>
          <a:off x="7953375" y="130111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57</xdr:row>
      <xdr:rowOff>0</xdr:rowOff>
    </xdr:from>
    <xdr:ext cx="0" cy="17145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4DCA65A0-7D0A-4FBC-8520-7D4846051F87}"/>
            </a:ext>
          </a:extLst>
        </xdr:cNvPr>
        <xdr:cNvSpPr txBox="1"/>
      </xdr:nvSpPr>
      <xdr:spPr>
        <a:xfrm>
          <a:off x="9296400" y="130111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32</xdr:row>
      <xdr:rowOff>95250</xdr:rowOff>
    </xdr:from>
    <xdr:ext cx="0" cy="17145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29464D47-EC85-4E09-B35B-61C52F740F24}"/>
            </a:ext>
          </a:extLst>
        </xdr:cNvPr>
        <xdr:cNvSpPr txBox="1"/>
      </xdr:nvSpPr>
      <xdr:spPr>
        <a:xfrm>
          <a:off x="9296400" y="90487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32</xdr:row>
      <xdr:rowOff>95250</xdr:rowOff>
    </xdr:from>
    <xdr:ext cx="0" cy="17145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5373F86C-5E6A-44AB-BF1F-B6FC68DCC0DD}"/>
            </a:ext>
          </a:extLst>
        </xdr:cNvPr>
        <xdr:cNvSpPr txBox="1"/>
      </xdr:nvSpPr>
      <xdr:spPr>
        <a:xfrm>
          <a:off x="9296400" y="90487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9</xdr:col>
      <xdr:colOff>190500</xdr:colOff>
      <xdr:row>32</xdr:row>
      <xdr:rowOff>95250</xdr:rowOff>
    </xdr:from>
    <xdr:ext cx="0" cy="17145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ECD7A4C-4077-43E6-BD64-20BBDBB6E12D}"/>
            </a:ext>
          </a:extLst>
        </xdr:cNvPr>
        <xdr:cNvSpPr txBox="1"/>
      </xdr:nvSpPr>
      <xdr:spPr>
        <a:xfrm>
          <a:off x="7953375" y="90487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9</xdr:col>
      <xdr:colOff>190500</xdr:colOff>
      <xdr:row>32</xdr:row>
      <xdr:rowOff>95250</xdr:rowOff>
    </xdr:from>
    <xdr:ext cx="0" cy="17145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107C8335-17DB-4B7B-8F88-971A05170016}"/>
            </a:ext>
          </a:extLst>
        </xdr:cNvPr>
        <xdr:cNvSpPr txBox="1"/>
      </xdr:nvSpPr>
      <xdr:spPr>
        <a:xfrm>
          <a:off x="7953375" y="90487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32</xdr:row>
      <xdr:rowOff>95250</xdr:rowOff>
    </xdr:from>
    <xdr:ext cx="0" cy="17145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178A0696-9185-47F0-84E8-5F03E36BB85C}"/>
            </a:ext>
          </a:extLst>
        </xdr:cNvPr>
        <xdr:cNvSpPr txBox="1"/>
      </xdr:nvSpPr>
      <xdr:spPr>
        <a:xfrm>
          <a:off x="9296400" y="90487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32</xdr:row>
      <xdr:rowOff>95250</xdr:rowOff>
    </xdr:from>
    <xdr:ext cx="0" cy="17145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FCB9411F-488D-4E79-B8EB-268889D8872D}"/>
            </a:ext>
          </a:extLst>
        </xdr:cNvPr>
        <xdr:cNvSpPr txBox="1"/>
      </xdr:nvSpPr>
      <xdr:spPr>
        <a:xfrm>
          <a:off x="9296400" y="90487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57</xdr:row>
      <xdr:rowOff>0</xdr:rowOff>
    </xdr:from>
    <xdr:ext cx="0" cy="17145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149DDB40-29ED-4155-A51F-CF21D3E34234}"/>
            </a:ext>
          </a:extLst>
        </xdr:cNvPr>
        <xdr:cNvSpPr txBox="1"/>
      </xdr:nvSpPr>
      <xdr:spPr>
        <a:xfrm>
          <a:off x="9296400" y="96202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57</xdr:row>
      <xdr:rowOff>0</xdr:rowOff>
    </xdr:from>
    <xdr:ext cx="0" cy="17145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DCDB0730-EC64-48A9-BDB3-B7012A7CC257}"/>
            </a:ext>
          </a:extLst>
        </xdr:cNvPr>
        <xdr:cNvSpPr txBox="1"/>
      </xdr:nvSpPr>
      <xdr:spPr>
        <a:xfrm>
          <a:off x="9296400" y="96202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9</xdr:col>
      <xdr:colOff>190500</xdr:colOff>
      <xdr:row>57</xdr:row>
      <xdr:rowOff>0</xdr:rowOff>
    </xdr:from>
    <xdr:ext cx="0" cy="17145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C128FE4D-FB22-412C-9A8B-624AE48B7259}"/>
            </a:ext>
          </a:extLst>
        </xdr:cNvPr>
        <xdr:cNvSpPr txBox="1"/>
      </xdr:nvSpPr>
      <xdr:spPr>
        <a:xfrm>
          <a:off x="7953375" y="96202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9</xdr:col>
      <xdr:colOff>190500</xdr:colOff>
      <xdr:row>57</xdr:row>
      <xdr:rowOff>0</xdr:rowOff>
    </xdr:from>
    <xdr:ext cx="0" cy="17145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60479F91-02AF-4D68-8631-B9CF6CE2A5EF}"/>
            </a:ext>
          </a:extLst>
        </xdr:cNvPr>
        <xdr:cNvSpPr txBox="1"/>
      </xdr:nvSpPr>
      <xdr:spPr>
        <a:xfrm>
          <a:off x="7953375" y="96202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57</xdr:row>
      <xdr:rowOff>0</xdr:rowOff>
    </xdr:from>
    <xdr:ext cx="0" cy="17145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D50567C-7736-44B2-B201-FF0BC633B7EF}"/>
            </a:ext>
          </a:extLst>
        </xdr:cNvPr>
        <xdr:cNvSpPr txBox="1"/>
      </xdr:nvSpPr>
      <xdr:spPr>
        <a:xfrm>
          <a:off x="9296400" y="96202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57</xdr:row>
      <xdr:rowOff>0</xdr:rowOff>
    </xdr:from>
    <xdr:ext cx="0" cy="17145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B3187F65-818D-40F8-AB31-6465B1121BA1}"/>
            </a:ext>
          </a:extLst>
        </xdr:cNvPr>
        <xdr:cNvSpPr txBox="1"/>
      </xdr:nvSpPr>
      <xdr:spPr>
        <a:xfrm>
          <a:off x="9296400" y="96202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57</xdr:row>
      <xdr:rowOff>0</xdr:rowOff>
    </xdr:from>
    <xdr:ext cx="0" cy="17145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60B7F29B-2CB0-40EF-832B-1BC0C7368014}"/>
            </a:ext>
          </a:extLst>
        </xdr:cNvPr>
        <xdr:cNvSpPr txBox="1"/>
      </xdr:nvSpPr>
      <xdr:spPr>
        <a:xfrm>
          <a:off x="9296400" y="101917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57</xdr:row>
      <xdr:rowOff>0</xdr:rowOff>
    </xdr:from>
    <xdr:ext cx="0" cy="17145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9949D7B7-A9D0-464B-8F40-63BBDCE39B28}"/>
            </a:ext>
          </a:extLst>
        </xdr:cNvPr>
        <xdr:cNvSpPr txBox="1"/>
      </xdr:nvSpPr>
      <xdr:spPr>
        <a:xfrm>
          <a:off x="9296400" y="101917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9</xdr:col>
      <xdr:colOff>190500</xdr:colOff>
      <xdr:row>57</xdr:row>
      <xdr:rowOff>0</xdr:rowOff>
    </xdr:from>
    <xdr:ext cx="0" cy="17145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2C5272B6-F3B3-44F0-94DA-8F1DB7BB3AD6}"/>
            </a:ext>
          </a:extLst>
        </xdr:cNvPr>
        <xdr:cNvSpPr txBox="1"/>
      </xdr:nvSpPr>
      <xdr:spPr>
        <a:xfrm>
          <a:off x="7953375" y="101917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9</xdr:col>
      <xdr:colOff>190500</xdr:colOff>
      <xdr:row>57</xdr:row>
      <xdr:rowOff>0</xdr:rowOff>
    </xdr:from>
    <xdr:ext cx="0" cy="17145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3689ECCA-7AE6-41B0-8533-EB37E376F323}"/>
            </a:ext>
          </a:extLst>
        </xdr:cNvPr>
        <xdr:cNvSpPr txBox="1"/>
      </xdr:nvSpPr>
      <xdr:spPr>
        <a:xfrm>
          <a:off x="7953375" y="101917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57</xdr:row>
      <xdr:rowOff>0</xdr:rowOff>
    </xdr:from>
    <xdr:ext cx="0" cy="17145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B85779E2-029B-40CD-BF65-7EC0D43D4406}"/>
            </a:ext>
          </a:extLst>
        </xdr:cNvPr>
        <xdr:cNvSpPr txBox="1"/>
      </xdr:nvSpPr>
      <xdr:spPr>
        <a:xfrm>
          <a:off x="9296400" y="101917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57</xdr:row>
      <xdr:rowOff>0</xdr:rowOff>
    </xdr:from>
    <xdr:ext cx="0" cy="17145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E5F07026-0DDA-4B5E-92AC-13B3FAF04B17}"/>
            </a:ext>
          </a:extLst>
        </xdr:cNvPr>
        <xdr:cNvSpPr txBox="1"/>
      </xdr:nvSpPr>
      <xdr:spPr>
        <a:xfrm>
          <a:off x="9296400" y="101917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57</xdr:row>
      <xdr:rowOff>0</xdr:rowOff>
    </xdr:from>
    <xdr:ext cx="0" cy="17145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9764D0BD-3597-4D35-B197-EC08738C09CB}"/>
            </a:ext>
          </a:extLst>
        </xdr:cNvPr>
        <xdr:cNvSpPr txBox="1"/>
      </xdr:nvSpPr>
      <xdr:spPr>
        <a:xfrm>
          <a:off x="9296400" y="107632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57</xdr:row>
      <xdr:rowOff>0</xdr:rowOff>
    </xdr:from>
    <xdr:ext cx="0" cy="17145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E1CC053C-7A02-49F2-8975-585E63433465}"/>
            </a:ext>
          </a:extLst>
        </xdr:cNvPr>
        <xdr:cNvSpPr txBox="1"/>
      </xdr:nvSpPr>
      <xdr:spPr>
        <a:xfrm>
          <a:off x="9296400" y="107632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9</xdr:col>
      <xdr:colOff>190500</xdr:colOff>
      <xdr:row>57</xdr:row>
      <xdr:rowOff>0</xdr:rowOff>
    </xdr:from>
    <xdr:ext cx="0" cy="17145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AE05F8A7-0254-4EDF-830B-9ED16BB20962}"/>
            </a:ext>
          </a:extLst>
        </xdr:cNvPr>
        <xdr:cNvSpPr txBox="1"/>
      </xdr:nvSpPr>
      <xdr:spPr>
        <a:xfrm>
          <a:off x="7953375" y="107632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9</xdr:col>
      <xdr:colOff>190500</xdr:colOff>
      <xdr:row>57</xdr:row>
      <xdr:rowOff>0</xdr:rowOff>
    </xdr:from>
    <xdr:ext cx="0" cy="17145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98F13EDE-1F42-4F49-9862-6EF49EF5EA4E}"/>
            </a:ext>
          </a:extLst>
        </xdr:cNvPr>
        <xdr:cNvSpPr txBox="1"/>
      </xdr:nvSpPr>
      <xdr:spPr>
        <a:xfrm>
          <a:off x="7953375" y="107632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57</xdr:row>
      <xdr:rowOff>0</xdr:rowOff>
    </xdr:from>
    <xdr:ext cx="0" cy="17145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C27F4C96-9EE6-451D-A783-AD16E696239D}"/>
            </a:ext>
          </a:extLst>
        </xdr:cNvPr>
        <xdr:cNvSpPr txBox="1"/>
      </xdr:nvSpPr>
      <xdr:spPr>
        <a:xfrm>
          <a:off x="9296400" y="107632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57</xdr:row>
      <xdr:rowOff>0</xdr:rowOff>
    </xdr:from>
    <xdr:ext cx="0" cy="17145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C0E432BC-AF1A-405D-A2AD-E2FA9A7163D6}"/>
            </a:ext>
          </a:extLst>
        </xdr:cNvPr>
        <xdr:cNvSpPr txBox="1"/>
      </xdr:nvSpPr>
      <xdr:spPr>
        <a:xfrm>
          <a:off x="9296400" y="107632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39</xdr:row>
      <xdr:rowOff>0</xdr:rowOff>
    </xdr:from>
    <xdr:ext cx="0" cy="17145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82E6DDA0-3D32-4A0E-9C39-0EE24FC9E7CD}"/>
            </a:ext>
          </a:extLst>
        </xdr:cNvPr>
        <xdr:cNvSpPr txBox="1"/>
      </xdr:nvSpPr>
      <xdr:spPr>
        <a:xfrm>
          <a:off x="9739313" y="7298531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9</xdr:col>
      <xdr:colOff>190500</xdr:colOff>
      <xdr:row>39</xdr:row>
      <xdr:rowOff>0</xdr:rowOff>
    </xdr:from>
    <xdr:ext cx="0" cy="17145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CD31622C-5766-4A59-9F70-648517EE46F5}"/>
            </a:ext>
          </a:extLst>
        </xdr:cNvPr>
        <xdr:cNvSpPr txBox="1"/>
      </xdr:nvSpPr>
      <xdr:spPr>
        <a:xfrm>
          <a:off x="8382000" y="7298531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39</xdr:row>
      <xdr:rowOff>0</xdr:rowOff>
    </xdr:from>
    <xdr:ext cx="0" cy="17145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5DB9A696-FF8B-46BD-AF86-060E35A6C5B0}"/>
            </a:ext>
          </a:extLst>
        </xdr:cNvPr>
        <xdr:cNvSpPr txBox="1"/>
      </xdr:nvSpPr>
      <xdr:spPr>
        <a:xfrm>
          <a:off x="9739313" y="7298531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39</xdr:row>
      <xdr:rowOff>95250</xdr:rowOff>
    </xdr:from>
    <xdr:ext cx="0" cy="17145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C840E805-B493-41B4-BF03-ECE8A517DCAE}"/>
            </a:ext>
          </a:extLst>
        </xdr:cNvPr>
        <xdr:cNvSpPr txBox="1"/>
      </xdr:nvSpPr>
      <xdr:spPr>
        <a:xfrm>
          <a:off x="9739313" y="7393781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39</xdr:row>
      <xdr:rowOff>95250</xdr:rowOff>
    </xdr:from>
    <xdr:ext cx="0" cy="17145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1C0273F0-B4B3-4EC0-B4CE-EA28318538FD}"/>
            </a:ext>
          </a:extLst>
        </xdr:cNvPr>
        <xdr:cNvSpPr txBox="1"/>
      </xdr:nvSpPr>
      <xdr:spPr>
        <a:xfrm>
          <a:off x="9739313" y="7393781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9</xdr:col>
      <xdr:colOff>190500</xdr:colOff>
      <xdr:row>39</xdr:row>
      <xdr:rowOff>95250</xdr:rowOff>
    </xdr:from>
    <xdr:ext cx="0" cy="17145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BEF9D4AF-BD7D-48DC-BA5D-E110429E7126}"/>
            </a:ext>
          </a:extLst>
        </xdr:cNvPr>
        <xdr:cNvSpPr txBox="1"/>
      </xdr:nvSpPr>
      <xdr:spPr>
        <a:xfrm>
          <a:off x="8382000" y="7393781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9</xdr:col>
      <xdr:colOff>190500</xdr:colOff>
      <xdr:row>39</xdr:row>
      <xdr:rowOff>95250</xdr:rowOff>
    </xdr:from>
    <xdr:ext cx="0" cy="17145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7F59513D-3404-47EC-841E-86CDBABF0D0C}"/>
            </a:ext>
          </a:extLst>
        </xdr:cNvPr>
        <xdr:cNvSpPr txBox="1"/>
      </xdr:nvSpPr>
      <xdr:spPr>
        <a:xfrm>
          <a:off x="8382000" y="7393781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39</xdr:row>
      <xdr:rowOff>95250</xdr:rowOff>
    </xdr:from>
    <xdr:ext cx="0" cy="17145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8321C162-A385-40A1-B345-B8F0712E4256}"/>
            </a:ext>
          </a:extLst>
        </xdr:cNvPr>
        <xdr:cNvSpPr txBox="1"/>
      </xdr:nvSpPr>
      <xdr:spPr>
        <a:xfrm>
          <a:off x="9739313" y="7393781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39</xdr:row>
      <xdr:rowOff>95250</xdr:rowOff>
    </xdr:from>
    <xdr:ext cx="0" cy="17145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44CA521A-BF43-441F-AEE8-F74B9324311F}"/>
            </a:ext>
          </a:extLst>
        </xdr:cNvPr>
        <xdr:cNvSpPr txBox="1"/>
      </xdr:nvSpPr>
      <xdr:spPr>
        <a:xfrm>
          <a:off x="9739313" y="7393781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53</xdr:row>
      <xdr:rowOff>0</xdr:rowOff>
    </xdr:from>
    <xdr:ext cx="0" cy="17145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3EFC0C35-D2F4-48FE-A1D8-BE25DB30DF0B}"/>
            </a:ext>
          </a:extLst>
        </xdr:cNvPr>
        <xdr:cNvSpPr txBox="1"/>
      </xdr:nvSpPr>
      <xdr:spPr>
        <a:xfrm>
          <a:off x="10067925" y="69913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9</xdr:col>
      <xdr:colOff>190500</xdr:colOff>
      <xdr:row>53</xdr:row>
      <xdr:rowOff>0</xdr:rowOff>
    </xdr:from>
    <xdr:ext cx="0" cy="17145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541C3CCC-D130-4305-9009-B8023F8F8129}"/>
            </a:ext>
          </a:extLst>
        </xdr:cNvPr>
        <xdr:cNvSpPr txBox="1"/>
      </xdr:nvSpPr>
      <xdr:spPr>
        <a:xfrm>
          <a:off x="8696325" y="69913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53</xdr:row>
      <xdr:rowOff>0</xdr:rowOff>
    </xdr:from>
    <xdr:ext cx="0" cy="17145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6DFA6F79-6416-4E76-B0D1-565D593D913F}"/>
            </a:ext>
          </a:extLst>
        </xdr:cNvPr>
        <xdr:cNvSpPr txBox="1"/>
      </xdr:nvSpPr>
      <xdr:spPr>
        <a:xfrm>
          <a:off x="10067925" y="69913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53</xdr:row>
      <xdr:rowOff>95250</xdr:rowOff>
    </xdr:from>
    <xdr:ext cx="0" cy="17145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28E91BF6-79D0-40E2-A44E-D9238D308A23}"/>
            </a:ext>
          </a:extLst>
        </xdr:cNvPr>
        <xdr:cNvSpPr txBox="1"/>
      </xdr:nvSpPr>
      <xdr:spPr>
        <a:xfrm>
          <a:off x="10067925" y="708660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53</xdr:row>
      <xdr:rowOff>95250</xdr:rowOff>
    </xdr:from>
    <xdr:ext cx="0" cy="17145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804F7247-8368-42A8-BF77-C75DBFDD1EE6}"/>
            </a:ext>
          </a:extLst>
        </xdr:cNvPr>
        <xdr:cNvSpPr txBox="1"/>
      </xdr:nvSpPr>
      <xdr:spPr>
        <a:xfrm>
          <a:off x="10067925" y="708660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9</xdr:col>
      <xdr:colOff>190500</xdr:colOff>
      <xdr:row>53</xdr:row>
      <xdr:rowOff>95250</xdr:rowOff>
    </xdr:from>
    <xdr:ext cx="0" cy="17145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D3826F07-0A09-4469-96C9-6E9E9D96B050}"/>
            </a:ext>
          </a:extLst>
        </xdr:cNvPr>
        <xdr:cNvSpPr txBox="1"/>
      </xdr:nvSpPr>
      <xdr:spPr>
        <a:xfrm>
          <a:off x="8696325" y="708660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9</xdr:col>
      <xdr:colOff>190500</xdr:colOff>
      <xdr:row>53</xdr:row>
      <xdr:rowOff>95250</xdr:rowOff>
    </xdr:from>
    <xdr:ext cx="0" cy="17145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F6A56C73-DCF8-4E89-897D-54C3867CA502}"/>
            </a:ext>
          </a:extLst>
        </xdr:cNvPr>
        <xdr:cNvSpPr txBox="1"/>
      </xdr:nvSpPr>
      <xdr:spPr>
        <a:xfrm>
          <a:off x="8696325" y="708660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53</xdr:row>
      <xdr:rowOff>95250</xdr:rowOff>
    </xdr:from>
    <xdr:ext cx="0" cy="17145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FC92CDDF-EC19-45EC-9C9B-93C7536FC372}"/>
            </a:ext>
          </a:extLst>
        </xdr:cNvPr>
        <xdr:cNvSpPr txBox="1"/>
      </xdr:nvSpPr>
      <xdr:spPr>
        <a:xfrm>
          <a:off x="10067925" y="708660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53</xdr:row>
      <xdr:rowOff>95250</xdr:rowOff>
    </xdr:from>
    <xdr:ext cx="0" cy="17145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4EA229DA-5622-4524-9454-AAE5CDF4705D}"/>
            </a:ext>
          </a:extLst>
        </xdr:cNvPr>
        <xdr:cNvSpPr txBox="1"/>
      </xdr:nvSpPr>
      <xdr:spPr>
        <a:xfrm>
          <a:off x="10067925" y="708660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54</xdr:row>
      <xdr:rowOff>0</xdr:rowOff>
    </xdr:from>
    <xdr:ext cx="0" cy="17145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94B8F3ED-39F0-4AFF-AFAC-D8D7DCC8B90A}"/>
            </a:ext>
          </a:extLst>
        </xdr:cNvPr>
        <xdr:cNvSpPr txBox="1"/>
      </xdr:nvSpPr>
      <xdr:spPr>
        <a:xfrm>
          <a:off x="10067925" y="1070610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9</xdr:col>
      <xdr:colOff>190500</xdr:colOff>
      <xdr:row>54</xdr:row>
      <xdr:rowOff>0</xdr:rowOff>
    </xdr:from>
    <xdr:ext cx="0" cy="17145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2E9C1682-24C3-422C-B10F-0CC02E0F89DC}"/>
            </a:ext>
          </a:extLst>
        </xdr:cNvPr>
        <xdr:cNvSpPr txBox="1"/>
      </xdr:nvSpPr>
      <xdr:spPr>
        <a:xfrm>
          <a:off x="8696325" y="1070610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54</xdr:row>
      <xdr:rowOff>0</xdr:rowOff>
    </xdr:from>
    <xdr:ext cx="0" cy="17145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8C504404-AE57-40AB-9393-DCAE5358B063}"/>
            </a:ext>
          </a:extLst>
        </xdr:cNvPr>
        <xdr:cNvSpPr txBox="1"/>
      </xdr:nvSpPr>
      <xdr:spPr>
        <a:xfrm>
          <a:off x="10067925" y="1070610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54</xdr:row>
      <xdr:rowOff>95250</xdr:rowOff>
    </xdr:from>
    <xdr:ext cx="0" cy="17145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7F4C1088-BDAC-4085-966E-7383C8D29E9B}"/>
            </a:ext>
          </a:extLst>
        </xdr:cNvPr>
        <xdr:cNvSpPr txBox="1"/>
      </xdr:nvSpPr>
      <xdr:spPr>
        <a:xfrm>
          <a:off x="10067925" y="108013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54</xdr:row>
      <xdr:rowOff>95250</xdr:rowOff>
    </xdr:from>
    <xdr:ext cx="0" cy="17145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145CA8F9-6E3E-4A34-8880-431E5A09D33D}"/>
            </a:ext>
          </a:extLst>
        </xdr:cNvPr>
        <xdr:cNvSpPr txBox="1"/>
      </xdr:nvSpPr>
      <xdr:spPr>
        <a:xfrm>
          <a:off x="10067925" y="108013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9</xdr:col>
      <xdr:colOff>190500</xdr:colOff>
      <xdr:row>54</xdr:row>
      <xdr:rowOff>95250</xdr:rowOff>
    </xdr:from>
    <xdr:ext cx="0" cy="17145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9750815A-A5DA-4A43-9210-B701B2D33FCD}"/>
            </a:ext>
          </a:extLst>
        </xdr:cNvPr>
        <xdr:cNvSpPr txBox="1"/>
      </xdr:nvSpPr>
      <xdr:spPr>
        <a:xfrm>
          <a:off x="8696325" y="108013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9</xdr:col>
      <xdr:colOff>190500</xdr:colOff>
      <xdr:row>54</xdr:row>
      <xdr:rowOff>95250</xdr:rowOff>
    </xdr:from>
    <xdr:ext cx="0" cy="17145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4070F489-B931-4EF0-ADAF-F2377E116A91}"/>
            </a:ext>
          </a:extLst>
        </xdr:cNvPr>
        <xdr:cNvSpPr txBox="1"/>
      </xdr:nvSpPr>
      <xdr:spPr>
        <a:xfrm>
          <a:off x="8696325" y="108013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54</xdr:row>
      <xdr:rowOff>95250</xdr:rowOff>
    </xdr:from>
    <xdr:ext cx="0" cy="17145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C1693FC7-0AF4-4B3B-BFE5-75CC9E9D9E40}"/>
            </a:ext>
          </a:extLst>
        </xdr:cNvPr>
        <xdr:cNvSpPr txBox="1"/>
      </xdr:nvSpPr>
      <xdr:spPr>
        <a:xfrm>
          <a:off x="10067925" y="108013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54</xdr:row>
      <xdr:rowOff>95250</xdr:rowOff>
    </xdr:from>
    <xdr:ext cx="0" cy="17145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EFFF4F1A-B5A6-4A53-AF61-CD1FF6F02F27}"/>
            </a:ext>
          </a:extLst>
        </xdr:cNvPr>
        <xdr:cNvSpPr txBox="1"/>
      </xdr:nvSpPr>
      <xdr:spPr>
        <a:xfrm>
          <a:off x="10067925" y="108013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54</xdr:row>
      <xdr:rowOff>0</xdr:rowOff>
    </xdr:from>
    <xdr:ext cx="0" cy="17145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32165C7B-9ADF-40D4-8E2E-E3D22B82B584}"/>
            </a:ext>
          </a:extLst>
        </xdr:cNvPr>
        <xdr:cNvSpPr txBox="1"/>
      </xdr:nvSpPr>
      <xdr:spPr>
        <a:xfrm>
          <a:off x="10067925" y="1070610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9</xdr:col>
      <xdr:colOff>190500</xdr:colOff>
      <xdr:row>54</xdr:row>
      <xdr:rowOff>0</xdr:rowOff>
    </xdr:from>
    <xdr:ext cx="0" cy="17145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78EF5703-44A4-4658-AFA0-0A531F09D2C2}"/>
            </a:ext>
          </a:extLst>
        </xdr:cNvPr>
        <xdr:cNvSpPr txBox="1"/>
      </xdr:nvSpPr>
      <xdr:spPr>
        <a:xfrm>
          <a:off x="8696325" y="1070610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54</xdr:row>
      <xdr:rowOff>0</xdr:rowOff>
    </xdr:from>
    <xdr:ext cx="0" cy="17145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7435874F-2C83-45FA-96FF-69031439F63F}"/>
            </a:ext>
          </a:extLst>
        </xdr:cNvPr>
        <xdr:cNvSpPr txBox="1"/>
      </xdr:nvSpPr>
      <xdr:spPr>
        <a:xfrm>
          <a:off x="10067925" y="1070610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54</xdr:row>
      <xdr:rowOff>95250</xdr:rowOff>
    </xdr:from>
    <xdr:ext cx="0" cy="17145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14EC7043-A6DC-47D9-AFB6-681EB3EF3767}"/>
            </a:ext>
          </a:extLst>
        </xdr:cNvPr>
        <xdr:cNvSpPr txBox="1"/>
      </xdr:nvSpPr>
      <xdr:spPr>
        <a:xfrm>
          <a:off x="10067925" y="108013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54</xdr:row>
      <xdr:rowOff>95250</xdr:rowOff>
    </xdr:from>
    <xdr:ext cx="0" cy="17145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12E7CD61-BF88-41C5-9C15-6888166D9405}"/>
            </a:ext>
          </a:extLst>
        </xdr:cNvPr>
        <xdr:cNvSpPr txBox="1"/>
      </xdr:nvSpPr>
      <xdr:spPr>
        <a:xfrm>
          <a:off x="10067925" y="108013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9</xdr:col>
      <xdr:colOff>190500</xdr:colOff>
      <xdr:row>54</xdr:row>
      <xdr:rowOff>95250</xdr:rowOff>
    </xdr:from>
    <xdr:ext cx="0" cy="17145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EDD80957-17D4-48C4-ABBA-5B09233209C9}"/>
            </a:ext>
          </a:extLst>
        </xdr:cNvPr>
        <xdr:cNvSpPr txBox="1"/>
      </xdr:nvSpPr>
      <xdr:spPr>
        <a:xfrm>
          <a:off x="8696325" y="108013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9</xdr:col>
      <xdr:colOff>190500</xdr:colOff>
      <xdr:row>54</xdr:row>
      <xdr:rowOff>95250</xdr:rowOff>
    </xdr:from>
    <xdr:ext cx="0" cy="17145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6B64A927-5C6F-4B34-A39E-2ACBB55EE6ED}"/>
            </a:ext>
          </a:extLst>
        </xdr:cNvPr>
        <xdr:cNvSpPr txBox="1"/>
      </xdr:nvSpPr>
      <xdr:spPr>
        <a:xfrm>
          <a:off x="8696325" y="108013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54</xdr:row>
      <xdr:rowOff>95250</xdr:rowOff>
    </xdr:from>
    <xdr:ext cx="0" cy="17145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8FEFBECA-BC50-4F2B-AFBD-AB208861B21C}"/>
            </a:ext>
          </a:extLst>
        </xdr:cNvPr>
        <xdr:cNvSpPr txBox="1"/>
      </xdr:nvSpPr>
      <xdr:spPr>
        <a:xfrm>
          <a:off x="10067925" y="108013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54</xdr:row>
      <xdr:rowOff>95250</xdr:rowOff>
    </xdr:from>
    <xdr:ext cx="0" cy="17145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7713D9D2-DA72-4592-BB9B-3419F1BD495C}"/>
            </a:ext>
          </a:extLst>
        </xdr:cNvPr>
        <xdr:cNvSpPr txBox="1"/>
      </xdr:nvSpPr>
      <xdr:spPr>
        <a:xfrm>
          <a:off x="10067925" y="108013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55</xdr:row>
      <xdr:rowOff>0</xdr:rowOff>
    </xdr:from>
    <xdr:ext cx="0" cy="17145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9D9931A5-6211-449E-8155-ED70600C97F1}"/>
            </a:ext>
          </a:extLst>
        </xdr:cNvPr>
        <xdr:cNvSpPr txBox="1"/>
      </xdr:nvSpPr>
      <xdr:spPr>
        <a:xfrm>
          <a:off x="10067925" y="1070610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9</xdr:col>
      <xdr:colOff>190500</xdr:colOff>
      <xdr:row>55</xdr:row>
      <xdr:rowOff>0</xdr:rowOff>
    </xdr:from>
    <xdr:ext cx="0" cy="17145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9FB647C2-3A40-494F-9991-B2E0FF08F3A0}"/>
            </a:ext>
          </a:extLst>
        </xdr:cNvPr>
        <xdr:cNvSpPr txBox="1"/>
      </xdr:nvSpPr>
      <xdr:spPr>
        <a:xfrm>
          <a:off x="8696325" y="1070610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55</xdr:row>
      <xdr:rowOff>0</xdr:rowOff>
    </xdr:from>
    <xdr:ext cx="0" cy="17145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BE9C89ED-E65E-404C-BCC7-86EDD84D5348}"/>
            </a:ext>
          </a:extLst>
        </xdr:cNvPr>
        <xdr:cNvSpPr txBox="1"/>
      </xdr:nvSpPr>
      <xdr:spPr>
        <a:xfrm>
          <a:off x="10067925" y="1070610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55</xdr:row>
      <xdr:rowOff>95250</xdr:rowOff>
    </xdr:from>
    <xdr:ext cx="0" cy="17145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649713B5-C503-42AF-AFD4-A3969A6CAB92}"/>
            </a:ext>
          </a:extLst>
        </xdr:cNvPr>
        <xdr:cNvSpPr txBox="1"/>
      </xdr:nvSpPr>
      <xdr:spPr>
        <a:xfrm>
          <a:off x="10067925" y="108013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55</xdr:row>
      <xdr:rowOff>95250</xdr:rowOff>
    </xdr:from>
    <xdr:ext cx="0" cy="17145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9716F600-A6B9-45E7-B225-4366142399C9}"/>
            </a:ext>
          </a:extLst>
        </xdr:cNvPr>
        <xdr:cNvSpPr txBox="1"/>
      </xdr:nvSpPr>
      <xdr:spPr>
        <a:xfrm>
          <a:off x="10067925" y="108013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9</xdr:col>
      <xdr:colOff>190500</xdr:colOff>
      <xdr:row>55</xdr:row>
      <xdr:rowOff>95250</xdr:rowOff>
    </xdr:from>
    <xdr:ext cx="0" cy="17145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44AA7289-92C4-43CA-90AC-A2400F70E8FA}"/>
            </a:ext>
          </a:extLst>
        </xdr:cNvPr>
        <xdr:cNvSpPr txBox="1"/>
      </xdr:nvSpPr>
      <xdr:spPr>
        <a:xfrm>
          <a:off x="8696325" y="108013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9</xdr:col>
      <xdr:colOff>190500</xdr:colOff>
      <xdr:row>55</xdr:row>
      <xdr:rowOff>95250</xdr:rowOff>
    </xdr:from>
    <xdr:ext cx="0" cy="17145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55FAC0A9-04C6-49D5-A36A-2A4866BF24E4}"/>
            </a:ext>
          </a:extLst>
        </xdr:cNvPr>
        <xdr:cNvSpPr txBox="1"/>
      </xdr:nvSpPr>
      <xdr:spPr>
        <a:xfrm>
          <a:off x="8696325" y="108013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55</xdr:row>
      <xdr:rowOff>95250</xdr:rowOff>
    </xdr:from>
    <xdr:ext cx="0" cy="17145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A719FC11-2679-4626-BF2E-32D7E2766C3A}"/>
            </a:ext>
          </a:extLst>
        </xdr:cNvPr>
        <xdr:cNvSpPr txBox="1"/>
      </xdr:nvSpPr>
      <xdr:spPr>
        <a:xfrm>
          <a:off x="10067925" y="108013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  <xdr:oneCellAnchor>
    <xdr:from>
      <xdr:col>12</xdr:col>
      <xdr:colOff>190500</xdr:colOff>
      <xdr:row>55</xdr:row>
      <xdr:rowOff>95250</xdr:rowOff>
    </xdr:from>
    <xdr:ext cx="0" cy="17145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063EC9F0-D499-414B-A58F-9B331CB241B1}"/>
            </a:ext>
          </a:extLst>
        </xdr:cNvPr>
        <xdr:cNvSpPr txBox="1"/>
      </xdr:nvSpPr>
      <xdr:spPr>
        <a:xfrm>
          <a:off x="10067925" y="10801350"/>
          <a:ext cx="0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04C38-D1E8-434F-8D1C-06A226B1BD16}">
  <dimension ref="A1:U118"/>
  <sheetViews>
    <sheetView view="pageBreakPreview" topLeftCell="B13" zoomScale="80" zoomScaleNormal="100" zoomScaleSheetLayoutView="80" workbookViewId="0">
      <selection activeCell="P29" sqref="P29"/>
    </sheetView>
  </sheetViews>
  <sheetFormatPr defaultColWidth="14.42578125" defaultRowHeight="14.25" x14ac:dyDescent="0.2"/>
  <cols>
    <col min="1" max="1" width="9.28515625" style="104" customWidth="1"/>
    <col min="2" max="2" width="53.140625" style="104" customWidth="1"/>
    <col min="3" max="3" width="5.28515625" style="104" customWidth="1"/>
    <col min="4" max="4" width="7" style="104" customWidth="1"/>
    <col min="5" max="5" width="3.7109375" style="104" customWidth="1"/>
    <col min="6" max="6" width="4.5703125" style="104" customWidth="1"/>
    <col min="7" max="7" width="5.140625" style="104" customWidth="1"/>
    <col min="8" max="8" width="4.5703125" style="104" customWidth="1"/>
    <col min="9" max="9" width="9" style="104" customWidth="1"/>
    <col min="10" max="10" width="5.5703125" style="104" customWidth="1"/>
    <col min="11" max="11" width="4.5703125" style="104" customWidth="1"/>
    <col min="12" max="12" width="5.28515625" style="104" customWidth="1"/>
    <col min="13" max="13" width="5.42578125" style="104" customWidth="1"/>
    <col min="14" max="14" width="11.28515625" style="104" customWidth="1"/>
    <col min="15" max="15" width="6.5703125" style="104" customWidth="1"/>
    <col min="16" max="16" width="12.85546875" style="104" customWidth="1"/>
    <col min="17" max="17" width="17.28515625" style="104" customWidth="1"/>
    <col min="18" max="18" width="14.7109375" style="104" bestFit="1" customWidth="1"/>
    <col min="19" max="19" width="14.5703125" style="104" customWidth="1"/>
    <col min="20" max="20" width="16.28515625" style="104" customWidth="1"/>
    <col min="21" max="21" width="13.7109375" style="104" customWidth="1"/>
    <col min="22" max="16384" width="14.42578125" style="104"/>
  </cols>
  <sheetData>
    <row r="1" spans="1:21" ht="15.75" customHeight="1" x14ac:dyDescent="0.2">
      <c r="A1" s="96"/>
      <c r="B1" s="96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6"/>
      <c r="O1" s="96"/>
      <c r="P1" s="96"/>
      <c r="Q1" s="96"/>
      <c r="R1" s="96"/>
      <c r="T1" s="105"/>
      <c r="U1" s="105"/>
    </row>
    <row r="2" spans="1:21" ht="19.899999999999999" customHeight="1" x14ac:dyDescent="0.2">
      <c r="A2" s="265" t="s">
        <v>0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106"/>
      <c r="S2" s="105"/>
      <c r="T2" s="105"/>
    </row>
    <row r="3" spans="1:21" ht="19.899999999999999" customHeight="1" x14ac:dyDescent="0.2">
      <c r="A3" s="265" t="s">
        <v>1</v>
      </c>
      <c r="B3" s="252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4"/>
      <c r="T3" s="105"/>
      <c r="U3" s="105"/>
    </row>
    <row r="4" spans="1:21" ht="19.899999999999999" customHeight="1" x14ac:dyDescent="0.2">
      <c r="A4" s="5"/>
      <c r="B4" s="167"/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67"/>
      <c r="O4" s="167"/>
      <c r="P4" s="167"/>
      <c r="Q4" s="167"/>
      <c r="R4" s="96"/>
      <c r="T4" s="105"/>
      <c r="U4" s="105"/>
    </row>
    <row r="5" spans="1:21" ht="19.899999999999999" customHeight="1" x14ac:dyDescent="0.2">
      <c r="A5" s="1"/>
      <c r="B5" s="2" t="s">
        <v>2</v>
      </c>
      <c r="C5" s="3" t="s">
        <v>3</v>
      </c>
      <c r="D5" s="251" t="s">
        <v>42</v>
      </c>
      <c r="E5" s="252"/>
      <c r="F5" s="252"/>
      <c r="G5" s="252"/>
      <c r="H5" s="252"/>
      <c r="I5" s="252"/>
      <c r="J5" s="252"/>
      <c r="K5" s="252"/>
      <c r="L5" s="252"/>
      <c r="M5" s="252"/>
      <c r="N5" s="252"/>
      <c r="O5" s="252"/>
      <c r="P5" s="252"/>
      <c r="Q5" s="252"/>
      <c r="R5" s="95"/>
      <c r="T5" s="105"/>
      <c r="U5" s="105"/>
    </row>
    <row r="6" spans="1:21" ht="19.899999999999999" customHeight="1" x14ac:dyDescent="0.2">
      <c r="A6" s="1"/>
      <c r="B6" s="2" t="s">
        <v>4</v>
      </c>
      <c r="C6" s="3" t="s">
        <v>3</v>
      </c>
      <c r="D6" s="251" t="s">
        <v>41</v>
      </c>
      <c r="E6" s="252"/>
      <c r="F6" s="252"/>
      <c r="G6" s="252"/>
      <c r="H6" s="252"/>
      <c r="I6" s="252"/>
      <c r="J6" s="252"/>
      <c r="K6" s="252"/>
      <c r="L6" s="252"/>
      <c r="M6" s="252"/>
      <c r="N6" s="252"/>
      <c r="O6" s="252"/>
      <c r="P6" s="252"/>
      <c r="Q6" s="252"/>
      <c r="R6" s="95"/>
      <c r="T6" s="105"/>
      <c r="U6" s="105"/>
    </row>
    <row r="7" spans="1:21" ht="19.899999999999999" customHeight="1" x14ac:dyDescent="0.2">
      <c r="A7" s="1"/>
      <c r="B7" s="2" t="s">
        <v>5</v>
      </c>
      <c r="C7" s="3" t="s">
        <v>3</v>
      </c>
      <c r="D7" s="251" t="s">
        <v>6</v>
      </c>
      <c r="E7" s="252"/>
      <c r="F7" s="252"/>
      <c r="G7" s="252"/>
      <c r="H7" s="252"/>
      <c r="I7" s="252"/>
      <c r="J7" s="252"/>
      <c r="K7" s="252"/>
      <c r="L7" s="252"/>
      <c r="M7" s="252"/>
      <c r="N7" s="252"/>
      <c r="O7" s="252"/>
      <c r="P7" s="252"/>
      <c r="Q7" s="252"/>
      <c r="R7" s="95"/>
      <c r="T7" s="105"/>
      <c r="U7" s="105"/>
    </row>
    <row r="8" spans="1:21" ht="19.899999999999999" customHeight="1" x14ac:dyDescent="0.2">
      <c r="A8" s="1"/>
      <c r="B8" s="2" t="s">
        <v>7</v>
      </c>
      <c r="C8" s="3" t="s">
        <v>3</v>
      </c>
      <c r="D8" s="251">
        <v>2024</v>
      </c>
      <c r="E8" s="252"/>
      <c r="F8" s="252"/>
      <c r="G8" s="252"/>
      <c r="H8" s="252"/>
      <c r="I8" s="252"/>
      <c r="J8" s="252"/>
      <c r="K8" s="252"/>
      <c r="L8" s="252"/>
      <c r="M8" s="252"/>
      <c r="N8" s="252"/>
      <c r="O8" s="252"/>
      <c r="P8" s="252"/>
      <c r="Q8" s="252"/>
      <c r="R8" s="95"/>
      <c r="T8" s="105"/>
      <c r="U8" s="105"/>
    </row>
    <row r="9" spans="1:21" ht="19.899999999999999" customHeight="1" x14ac:dyDescent="0.2">
      <c r="A9" s="1"/>
      <c r="B9" s="2" t="s">
        <v>8</v>
      </c>
      <c r="C9" s="3" t="s">
        <v>3</v>
      </c>
      <c r="D9" s="251" t="s">
        <v>48</v>
      </c>
      <c r="E9" s="252"/>
      <c r="F9" s="252"/>
      <c r="G9" s="252"/>
      <c r="H9" s="252"/>
      <c r="I9" s="252"/>
      <c r="J9" s="252"/>
      <c r="K9" s="252"/>
      <c r="L9" s="252"/>
      <c r="M9" s="252"/>
      <c r="N9" s="252"/>
      <c r="O9" s="252"/>
      <c r="P9" s="252"/>
      <c r="Q9" s="252"/>
      <c r="R9" s="95"/>
      <c r="T9" s="105"/>
      <c r="U9" s="105"/>
    </row>
    <row r="10" spans="1:21" ht="19.899999999999999" customHeight="1" x14ac:dyDescent="0.2">
      <c r="A10" s="1"/>
      <c r="B10" s="2" t="s">
        <v>26</v>
      </c>
      <c r="C10" s="3" t="s">
        <v>3</v>
      </c>
      <c r="D10" s="253" t="s">
        <v>72</v>
      </c>
      <c r="E10" s="253"/>
      <c r="F10" s="253"/>
      <c r="G10" s="253"/>
      <c r="H10" s="253"/>
      <c r="I10" s="253"/>
      <c r="J10" s="253"/>
      <c r="K10" s="253"/>
      <c r="L10" s="253"/>
      <c r="M10" s="253"/>
      <c r="N10" s="253"/>
      <c r="O10" s="253"/>
      <c r="P10" s="253"/>
      <c r="Q10" s="253"/>
      <c r="R10" s="95"/>
      <c r="T10" s="105"/>
      <c r="U10" s="105"/>
    </row>
    <row r="11" spans="1:21" ht="18.75" customHeight="1" thickBot="1" x14ac:dyDescent="0.25">
      <c r="A11" s="254"/>
      <c r="B11" s="255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2"/>
      <c r="O11" s="2"/>
      <c r="P11" s="96"/>
      <c r="Q11" s="96"/>
      <c r="R11" s="96"/>
      <c r="T11" s="105"/>
      <c r="U11" s="105"/>
    </row>
    <row r="12" spans="1:21" ht="15.75" customHeight="1" x14ac:dyDescent="0.2">
      <c r="A12" s="256" t="s">
        <v>9</v>
      </c>
      <c r="B12" s="258" t="s">
        <v>10</v>
      </c>
      <c r="C12" s="259"/>
      <c r="D12" s="259"/>
      <c r="E12" s="259"/>
      <c r="F12" s="259"/>
      <c r="G12" s="259"/>
      <c r="H12" s="259"/>
      <c r="I12" s="259"/>
      <c r="J12" s="259"/>
      <c r="K12" s="259"/>
      <c r="L12" s="259"/>
      <c r="M12" s="259"/>
      <c r="N12" s="258" t="s">
        <v>11</v>
      </c>
      <c r="O12" s="261"/>
      <c r="P12" s="263" t="s">
        <v>12</v>
      </c>
      <c r="Q12" s="263" t="s">
        <v>13</v>
      </c>
      <c r="R12" s="3"/>
      <c r="T12" s="105"/>
      <c r="U12" s="105"/>
    </row>
    <row r="13" spans="1:21" ht="15.75" customHeight="1" thickBot="1" x14ac:dyDescent="0.25">
      <c r="A13" s="257"/>
      <c r="B13" s="260"/>
      <c r="C13" s="255"/>
      <c r="D13" s="255"/>
      <c r="E13" s="255"/>
      <c r="F13" s="255"/>
      <c r="G13" s="255"/>
      <c r="H13" s="255"/>
      <c r="I13" s="255"/>
      <c r="J13" s="255"/>
      <c r="K13" s="255"/>
      <c r="L13" s="255"/>
      <c r="M13" s="255"/>
      <c r="N13" s="260"/>
      <c r="O13" s="262"/>
      <c r="P13" s="264"/>
      <c r="Q13" s="264"/>
      <c r="R13" s="3"/>
      <c r="T13" s="105"/>
      <c r="U13" s="105"/>
    </row>
    <row r="14" spans="1:21" ht="15" customHeight="1" thickBot="1" x14ac:dyDescent="0.25">
      <c r="A14" s="107">
        <v>1</v>
      </c>
      <c r="B14" s="246">
        <v>2</v>
      </c>
      <c r="C14" s="247"/>
      <c r="D14" s="247"/>
      <c r="E14" s="247"/>
      <c r="F14" s="247"/>
      <c r="G14" s="247"/>
      <c r="H14" s="108"/>
      <c r="I14" s="108"/>
      <c r="J14" s="108"/>
      <c r="K14" s="108"/>
      <c r="L14" s="108"/>
      <c r="M14" s="108"/>
      <c r="N14" s="246">
        <v>3</v>
      </c>
      <c r="O14" s="248"/>
      <c r="P14" s="109">
        <v>4</v>
      </c>
      <c r="Q14" s="110">
        <v>5</v>
      </c>
      <c r="R14" s="111"/>
      <c r="S14" s="112"/>
      <c r="T14" s="113"/>
      <c r="U14" s="113"/>
    </row>
    <row r="15" spans="1:21" ht="19.899999999999999" customHeight="1" x14ac:dyDescent="0.2">
      <c r="A15" s="232"/>
      <c r="B15" s="249" t="s">
        <v>47</v>
      </c>
      <c r="C15" s="250"/>
      <c r="D15" s="250"/>
      <c r="E15" s="250"/>
      <c r="F15" s="250"/>
      <c r="G15" s="250"/>
      <c r="H15" s="250"/>
      <c r="I15" s="250"/>
      <c r="J15" s="250"/>
      <c r="K15" s="250"/>
      <c r="L15" s="250"/>
      <c r="M15" s="250"/>
      <c r="N15" s="233"/>
      <c r="O15" s="234"/>
      <c r="P15" s="235"/>
      <c r="Q15" s="236">
        <f>Q17+Q27+Q35</f>
        <v>3070200000</v>
      </c>
      <c r="R15" s="6" t="e">
        <f>Q20+Q21+Q22+Q23+Q24+Q29+Q33+Q41+#REF!+Q25</f>
        <v>#REF!</v>
      </c>
      <c r="T15" s="105"/>
      <c r="U15" s="105"/>
    </row>
    <row r="16" spans="1:21" ht="19.899999999999999" customHeight="1" x14ac:dyDescent="0.2">
      <c r="A16" s="224"/>
      <c r="B16" s="97"/>
      <c r="C16" s="119"/>
      <c r="D16" s="119"/>
      <c r="E16" s="119"/>
      <c r="F16" s="119"/>
      <c r="G16" s="119"/>
      <c r="H16" s="119"/>
      <c r="I16" s="119"/>
      <c r="J16" s="119"/>
      <c r="K16" s="119"/>
      <c r="L16" s="119"/>
      <c r="M16" s="119"/>
      <c r="N16" s="34"/>
      <c r="O16" s="35"/>
      <c r="P16" s="36"/>
      <c r="Q16" s="42"/>
      <c r="R16" s="6"/>
      <c r="T16" s="105"/>
      <c r="U16" s="105"/>
    </row>
    <row r="17" spans="1:21" ht="19.899999999999999" customHeight="1" x14ac:dyDescent="0.2">
      <c r="A17" s="224" t="s">
        <v>14</v>
      </c>
      <c r="B17" s="97" t="s">
        <v>29</v>
      </c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34"/>
      <c r="O17" s="35"/>
      <c r="P17" s="36"/>
      <c r="Q17" s="123">
        <f>Q18</f>
        <v>587200000</v>
      </c>
      <c r="R17" s="6"/>
      <c r="T17" s="105"/>
      <c r="U17" s="105"/>
    </row>
    <row r="18" spans="1:21" ht="19.899999999999999" customHeight="1" x14ac:dyDescent="0.2">
      <c r="A18" s="225" t="s">
        <v>30</v>
      </c>
      <c r="B18" s="221" t="s">
        <v>31</v>
      </c>
      <c r="C18" s="119"/>
      <c r="D18" s="119"/>
      <c r="E18" s="119"/>
      <c r="F18" s="119"/>
      <c r="G18" s="119"/>
      <c r="H18" s="119"/>
      <c r="I18" s="119"/>
      <c r="J18" s="119"/>
      <c r="K18" s="119"/>
      <c r="L18" s="119"/>
      <c r="M18" s="119"/>
      <c r="N18" s="34"/>
      <c r="O18" s="35"/>
      <c r="P18" s="36"/>
      <c r="Q18" s="122">
        <f>SUM(Q19:Q25)</f>
        <v>587200000</v>
      </c>
      <c r="R18" s="6"/>
      <c r="T18" s="105"/>
      <c r="U18" s="105"/>
    </row>
    <row r="19" spans="1:21" ht="19.899999999999999" customHeight="1" x14ac:dyDescent="0.2">
      <c r="A19" s="224"/>
      <c r="B19" s="38" t="s">
        <v>73</v>
      </c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34"/>
      <c r="O19" s="35"/>
      <c r="P19" s="36"/>
      <c r="Q19" s="42"/>
      <c r="R19" s="6"/>
      <c r="T19" s="105"/>
      <c r="U19" s="105"/>
    </row>
    <row r="20" spans="1:21" ht="19.899999999999999" customHeight="1" x14ac:dyDescent="0.2">
      <c r="A20" s="224"/>
      <c r="B20" s="38" t="s">
        <v>32</v>
      </c>
      <c r="C20" s="41">
        <v>1</v>
      </c>
      <c r="D20" s="38" t="s">
        <v>18</v>
      </c>
      <c r="E20" s="39" t="s">
        <v>17</v>
      </c>
      <c r="F20" s="38">
        <v>2</v>
      </c>
      <c r="G20" s="38" t="s">
        <v>24</v>
      </c>
      <c r="H20" s="39" t="s">
        <v>17</v>
      </c>
      <c r="I20" s="40">
        <v>16</v>
      </c>
      <c r="J20" s="38" t="s">
        <v>22</v>
      </c>
      <c r="K20" s="119"/>
      <c r="L20" s="119"/>
      <c r="M20" s="119"/>
      <c r="N20" s="121">
        <f t="shared" ref="N20:N25" si="0">C20*F20*I20</f>
        <v>32</v>
      </c>
      <c r="O20" s="35" t="s">
        <v>36</v>
      </c>
      <c r="P20" s="16">
        <v>2500000</v>
      </c>
      <c r="Q20" s="36">
        <f>N20*P20</f>
        <v>80000000</v>
      </c>
      <c r="R20" s="6"/>
      <c r="T20" s="105"/>
      <c r="U20" s="105"/>
    </row>
    <row r="21" spans="1:21" ht="19.899999999999999" customHeight="1" x14ac:dyDescent="0.2">
      <c r="A21" s="224"/>
      <c r="B21" s="38" t="s">
        <v>37</v>
      </c>
      <c r="C21" s="41">
        <v>4</v>
      </c>
      <c r="D21" s="38" t="s">
        <v>18</v>
      </c>
      <c r="E21" s="39" t="s">
        <v>17</v>
      </c>
      <c r="F21" s="38">
        <f>F20</f>
        <v>2</v>
      </c>
      <c r="G21" s="38" t="s">
        <v>24</v>
      </c>
      <c r="H21" s="39" t="s">
        <v>17</v>
      </c>
      <c r="I21" s="40">
        <f>I20</f>
        <v>16</v>
      </c>
      <c r="J21" s="38" t="s">
        <v>22</v>
      </c>
      <c r="K21" s="119"/>
      <c r="L21" s="119"/>
      <c r="M21" s="119"/>
      <c r="N21" s="121">
        <f t="shared" si="0"/>
        <v>128</v>
      </c>
      <c r="O21" s="35" t="s">
        <v>36</v>
      </c>
      <c r="P21" s="16">
        <v>2200000</v>
      </c>
      <c r="Q21" s="36">
        <f t="shared" ref="Q21:Q24" si="1">N21*P21</f>
        <v>281600000</v>
      </c>
      <c r="R21" s="6"/>
      <c r="T21" s="105"/>
      <c r="U21" s="105"/>
    </row>
    <row r="22" spans="1:21" ht="19.899999999999999" customHeight="1" x14ac:dyDescent="0.2">
      <c r="A22" s="224"/>
      <c r="B22" s="38" t="s">
        <v>33</v>
      </c>
      <c r="C22" s="41">
        <v>1</v>
      </c>
      <c r="D22" s="38" t="s">
        <v>18</v>
      </c>
      <c r="E22" s="39" t="s">
        <v>17</v>
      </c>
      <c r="F22" s="38">
        <f>F20</f>
        <v>2</v>
      </c>
      <c r="G22" s="38" t="s">
        <v>24</v>
      </c>
      <c r="H22" s="39" t="s">
        <v>17</v>
      </c>
      <c r="I22" s="40">
        <f>I21</f>
        <v>16</v>
      </c>
      <c r="J22" s="38" t="s">
        <v>22</v>
      </c>
      <c r="K22" s="119"/>
      <c r="L22" s="119"/>
      <c r="M22" s="119"/>
      <c r="N22" s="121">
        <f t="shared" si="0"/>
        <v>32</v>
      </c>
      <c r="O22" s="35" t="s">
        <v>36</v>
      </c>
      <c r="P22" s="16">
        <v>1850000</v>
      </c>
      <c r="Q22" s="36">
        <f t="shared" si="1"/>
        <v>59200000</v>
      </c>
      <c r="R22" s="6"/>
      <c r="T22" s="105"/>
      <c r="U22" s="105"/>
    </row>
    <row r="23" spans="1:21" ht="19.899999999999999" customHeight="1" x14ac:dyDescent="0.2">
      <c r="A23" s="224"/>
      <c r="B23" s="222" t="s">
        <v>34</v>
      </c>
      <c r="C23" s="41">
        <v>1</v>
      </c>
      <c r="D23" s="38" t="s">
        <v>18</v>
      </c>
      <c r="E23" s="39" t="s">
        <v>17</v>
      </c>
      <c r="F23" s="38">
        <f>F20</f>
        <v>2</v>
      </c>
      <c r="G23" s="38" t="s">
        <v>24</v>
      </c>
      <c r="H23" s="39" t="s">
        <v>17</v>
      </c>
      <c r="I23" s="40">
        <f>I22</f>
        <v>16</v>
      </c>
      <c r="J23" s="38" t="s">
        <v>22</v>
      </c>
      <c r="K23" s="119"/>
      <c r="L23" s="119"/>
      <c r="M23" s="119"/>
      <c r="N23" s="121">
        <f t="shared" si="0"/>
        <v>32</v>
      </c>
      <c r="O23" s="35" t="s">
        <v>36</v>
      </c>
      <c r="P23" s="16">
        <v>1300000</v>
      </c>
      <c r="Q23" s="36">
        <f t="shared" si="1"/>
        <v>41600000</v>
      </c>
      <c r="R23" s="6"/>
      <c r="T23" s="105"/>
      <c r="U23" s="105"/>
    </row>
    <row r="24" spans="1:21" ht="33.75" customHeight="1" x14ac:dyDescent="0.2">
      <c r="A24" s="224"/>
      <c r="B24" s="223" t="s">
        <v>35</v>
      </c>
      <c r="C24" s="41">
        <v>1</v>
      </c>
      <c r="D24" s="38" t="s">
        <v>18</v>
      </c>
      <c r="E24" s="39" t="s">
        <v>17</v>
      </c>
      <c r="F24" s="38">
        <f>F20</f>
        <v>2</v>
      </c>
      <c r="G24" s="38" t="s">
        <v>24</v>
      </c>
      <c r="H24" s="39" t="s">
        <v>17</v>
      </c>
      <c r="I24" s="40">
        <f>I23</f>
        <v>16</v>
      </c>
      <c r="J24" s="38" t="s">
        <v>22</v>
      </c>
      <c r="K24" s="119"/>
      <c r="L24" s="119"/>
      <c r="M24" s="119"/>
      <c r="N24" s="121">
        <f t="shared" si="0"/>
        <v>32</v>
      </c>
      <c r="O24" s="35" t="s">
        <v>36</v>
      </c>
      <c r="P24" s="16">
        <v>1300000</v>
      </c>
      <c r="Q24" s="36">
        <f t="shared" si="1"/>
        <v>41600000</v>
      </c>
      <c r="R24" s="6"/>
      <c r="T24" s="105"/>
      <c r="U24" s="105"/>
    </row>
    <row r="25" spans="1:21" ht="19.899999999999999" customHeight="1" x14ac:dyDescent="0.2">
      <c r="A25" s="224"/>
      <c r="B25" s="223" t="s">
        <v>50</v>
      </c>
      <c r="C25" s="41">
        <v>2</v>
      </c>
      <c r="D25" s="38" t="s">
        <v>18</v>
      </c>
      <c r="E25" s="39" t="s">
        <v>17</v>
      </c>
      <c r="F25" s="38">
        <f>F20</f>
        <v>2</v>
      </c>
      <c r="G25" s="38" t="s">
        <v>24</v>
      </c>
      <c r="H25" s="39" t="s">
        <v>17</v>
      </c>
      <c r="I25" s="40">
        <f>I24</f>
        <v>16</v>
      </c>
      <c r="J25" s="38" t="s">
        <v>22</v>
      </c>
      <c r="K25" s="119"/>
      <c r="L25" s="119"/>
      <c r="M25" s="119"/>
      <c r="N25" s="121">
        <f t="shared" si="0"/>
        <v>64</v>
      </c>
      <c r="O25" s="35" t="s">
        <v>36</v>
      </c>
      <c r="P25" s="16">
        <v>1300000</v>
      </c>
      <c r="Q25" s="36">
        <f t="shared" ref="Q25" si="2">N25*P25</f>
        <v>83200000</v>
      </c>
      <c r="R25" s="6"/>
      <c r="T25" s="105"/>
      <c r="U25" s="105"/>
    </row>
    <row r="26" spans="1:21" ht="19.899999999999999" customHeight="1" x14ac:dyDescent="0.2">
      <c r="A26" s="224"/>
      <c r="B26" s="97"/>
      <c r="C26" s="119"/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34"/>
      <c r="O26" s="35"/>
      <c r="P26" s="36"/>
      <c r="Q26" s="42"/>
      <c r="R26" s="6"/>
      <c r="T26" s="105"/>
      <c r="U26" s="105"/>
    </row>
    <row r="27" spans="1:21" ht="19.899999999999999" customHeight="1" x14ac:dyDescent="0.2">
      <c r="A27" s="224" t="s">
        <v>28</v>
      </c>
      <c r="B27" s="37" t="s">
        <v>1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4"/>
      <c r="O27" s="15"/>
      <c r="P27" s="16"/>
      <c r="Q27" s="125">
        <f>Q28+Q31</f>
        <v>1902250000</v>
      </c>
      <c r="R27" s="6"/>
      <c r="T27" s="105"/>
      <c r="U27" s="105"/>
    </row>
    <row r="28" spans="1:21" ht="19.899999999999999" customHeight="1" x14ac:dyDescent="0.2">
      <c r="A28" s="226">
        <v>521211</v>
      </c>
      <c r="B28" s="17" t="s">
        <v>15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4"/>
      <c r="O28" s="15"/>
      <c r="P28" s="16"/>
      <c r="Q28" s="114">
        <f>SUM(Q29:Q29)</f>
        <v>64000000</v>
      </c>
      <c r="R28" s="6">
        <f>Q29/16</f>
        <v>4000000</v>
      </c>
      <c r="T28" s="105"/>
      <c r="U28" s="105"/>
    </row>
    <row r="29" spans="1:21" ht="35.25" customHeight="1" x14ac:dyDescent="0.2">
      <c r="A29" s="227"/>
      <c r="B29" s="21" t="s">
        <v>49</v>
      </c>
      <c r="C29" s="149">
        <v>1</v>
      </c>
      <c r="D29" s="13" t="s">
        <v>16</v>
      </c>
      <c r="E29" s="13" t="s">
        <v>17</v>
      </c>
      <c r="F29" s="13">
        <v>2</v>
      </c>
      <c r="G29" s="13" t="s">
        <v>21</v>
      </c>
      <c r="H29" s="13" t="s">
        <v>17</v>
      </c>
      <c r="I29" s="124">
        <f>I24</f>
        <v>16</v>
      </c>
      <c r="J29" s="13" t="s">
        <v>22</v>
      </c>
      <c r="K29" s="13"/>
      <c r="L29" s="13"/>
      <c r="M29" s="13"/>
      <c r="N29" s="126">
        <f>C29*F29*I29</f>
        <v>32</v>
      </c>
      <c r="O29" s="116" t="s">
        <v>16</v>
      </c>
      <c r="P29" s="117">
        <v>2000000</v>
      </c>
      <c r="Q29" s="118">
        <f>N29*P29</f>
        <v>64000000</v>
      </c>
      <c r="R29" s="7"/>
      <c r="S29" s="105"/>
      <c r="T29" s="105"/>
      <c r="U29" s="105"/>
    </row>
    <row r="30" spans="1:21" ht="19.899999999999999" customHeight="1" x14ac:dyDescent="0.2">
      <c r="A30" s="227"/>
      <c r="B30" s="20"/>
      <c r="C30" s="149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15"/>
      <c r="O30" s="116"/>
      <c r="P30" s="117"/>
      <c r="Q30" s="118"/>
      <c r="R30" s="7"/>
      <c r="S30" s="105"/>
      <c r="T30" s="105"/>
      <c r="U30" s="105"/>
    </row>
    <row r="31" spans="1:21" ht="19.899999999999999" customHeight="1" x14ac:dyDescent="0.2">
      <c r="A31" s="227">
        <v>521219</v>
      </c>
      <c r="B31" s="18" t="s">
        <v>19</v>
      </c>
      <c r="C31" s="149"/>
      <c r="D31" s="21"/>
      <c r="E31" s="13"/>
      <c r="F31" s="13"/>
      <c r="G31" s="13"/>
      <c r="H31" s="13"/>
      <c r="I31" s="13"/>
      <c r="J31" s="13"/>
      <c r="K31" s="13"/>
      <c r="L31" s="13"/>
      <c r="M31" s="13"/>
      <c r="N31" s="22"/>
      <c r="O31" s="23"/>
      <c r="P31" s="24"/>
      <c r="Q31" s="120">
        <f>Q32</f>
        <v>1838250000</v>
      </c>
      <c r="R31" s="7"/>
      <c r="S31" s="105"/>
      <c r="T31" s="105"/>
      <c r="U31" s="105"/>
    </row>
    <row r="32" spans="1:21" ht="19.899999999999999" customHeight="1" x14ac:dyDescent="0.2">
      <c r="A32" s="228"/>
      <c r="B32" s="33" t="s">
        <v>43</v>
      </c>
      <c r="C32" s="149"/>
      <c r="D32" s="13"/>
      <c r="E32" s="13"/>
      <c r="F32" s="13"/>
      <c r="G32" s="13"/>
      <c r="H32" s="19"/>
      <c r="I32" s="19"/>
      <c r="J32" s="19"/>
      <c r="K32" s="19"/>
      <c r="L32" s="19"/>
      <c r="M32" s="19"/>
      <c r="N32" s="115"/>
      <c r="O32" s="116"/>
      <c r="P32" s="117"/>
      <c r="Q32" s="94">
        <f>SUM(Q33:Q41)</f>
        <v>1838250000</v>
      </c>
      <c r="R32" s="7"/>
      <c r="S32" s="105"/>
      <c r="T32" s="105"/>
      <c r="U32" s="105"/>
    </row>
    <row r="33" spans="1:21" ht="29.25" customHeight="1" x14ac:dyDescent="0.2">
      <c r="A33" s="228"/>
      <c r="B33" s="25" t="s">
        <v>51</v>
      </c>
      <c r="C33" s="149">
        <v>1</v>
      </c>
      <c r="D33" s="13" t="s">
        <v>16</v>
      </c>
      <c r="E33" s="13" t="s">
        <v>17</v>
      </c>
      <c r="F33" s="13">
        <v>2</v>
      </c>
      <c r="G33" s="13" t="s">
        <v>21</v>
      </c>
      <c r="H33" s="13" t="s">
        <v>17</v>
      </c>
      <c r="I33" s="124">
        <f>I29</f>
        <v>16</v>
      </c>
      <c r="J33" s="13" t="s">
        <v>22</v>
      </c>
      <c r="K33" s="13"/>
      <c r="L33" s="13"/>
      <c r="M33" s="13"/>
      <c r="N33" s="126">
        <f>C33*F33*I33</f>
        <v>32</v>
      </c>
      <c r="O33" s="116" t="s">
        <v>23</v>
      </c>
      <c r="P33" s="117">
        <v>3000000</v>
      </c>
      <c r="Q33" s="118">
        <f>N33*P33</f>
        <v>96000000</v>
      </c>
      <c r="R33" s="7"/>
      <c r="S33" s="105"/>
      <c r="T33" s="105"/>
      <c r="U33" s="105"/>
    </row>
    <row r="34" spans="1:21" s="163" customFormat="1" ht="19.899999999999999" customHeight="1" x14ac:dyDescent="0.2">
      <c r="A34" s="228"/>
      <c r="B34" s="25"/>
      <c r="C34" s="149"/>
      <c r="D34" s="13"/>
      <c r="E34" s="13"/>
      <c r="F34" s="13"/>
      <c r="G34" s="13"/>
      <c r="H34" s="13"/>
      <c r="I34" s="124"/>
      <c r="J34" s="13"/>
      <c r="K34" s="13"/>
      <c r="L34" s="13"/>
      <c r="M34" s="13"/>
      <c r="N34" s="126"/>
      <c r="O34" s="116"/>
      <c r="P34" s="117"/>
      <c r="Q34" s="118"/>
      <c r="R34" s="7"/>
      <c r="S34" s="105"/>
      <c r="T34" s="105"/>
      <c r="U34" s="105"/>
    </row>
    <row r="35" spans="1:21" s="163" customFormat="1" ht="19.899999999999999" customHeight="1" x14ac:dyDescent="0.25">
      <c r="A35" s="204" t="s">
        <v>89</v>
      </c>
      <c r="B35" s="210" t="s">
        <v>90</v>
      </c>
      <c r="C35" s="151"/>
      <c r="D35" s="75"/>
      <c r="E35" s="75"/>
      <c r="F35" s="75"/>
      <c r="G35" s="75"/>
      <c r="H35" s="75"/>
      <c r="I35" s="75"/>
      <c r="J35" s="75"/>
      <c r="K35" s="73"/>
      <c r="L35" s="73"/>
      <c r="M35" s="73"/>
      <c r="N35" s="67"/>
      <c r="O35" s="68"/>
      <c r="P35" s="85"/>
      <c r="Q35" s="230">
        <f>Q36</f>
        <v>580750000</v>
      </c>
      <c r="R35" s="7"/>
      <c r="S35" s="105"/>
      <c r="T35" s="105"/>
      <c r="U35" s="105"/>
    </row>
    <row r="36" spans="1:21" s="163" customFormat="1" ht="19.899999999999999" customHeight="1" x14ac:dyDescent="0.25">
      <c r="A36" s="204">
        <v>521219</v>
      </c>
      <c r="B36" s="83" t="s">
        <v>27</v>
      </c>
      <c r="C36" s="151"/>
      <c r="D36" s="75"/>
      <c r="E36" s="75"/>
      <c r="F36" s="75"/>
      <c r="G36" s="75"/>
      <c r="H36" s="75"/>
      <c r="I36" s="75"/>
      <c r="J36" s="75"/>
      <c r="K36" s="73"/>
      <c r="L36" s="73"/>
      <c r="M36" s="73"/>
      <c r="N36" s="67"/>
      <c r="O36" s="68"/>
      <c r="P36" s="85"/>
      <c r="Q36" s="231">
        <f>SUM(Q37:Q42)</f>
        <v>580750000</v>
      </c>
      <c r="R36" s="7"/>
      <c r="S36" s="105"/>
      <c r="T36" s="105"/>
      <c r="U36" s="105"/>
    </row>
    <row r="37" spans="1:21" s="163" customFormat="1" ht="19.899999999999999" customHeight="1" x14ac:dyDescent="0.25">
      <c r="A37" s="204"/>
      <c r="B37" s="210" t="s">
        <v>92</v>
      </c>
      <c r="C37" s="151"/>
      <c r="D37" s="75"/>
      <c r="E37" s="75"/>
      <c r="F37" s="75"/>
      <c r="G37" s="75"/>
      <c r="H37" s="75"/>
      <c r="I37" s="75"/>
      <c r="J37" s="75"/>
      <c r="K37" s="73"/>
      <c r="L37" s="73"/>
      <c r="M37" s="73"/>
      <c r="N37" s="67"/>
      <c r="O37" s="68"/>
      <c r="P37" s="85"/>
      <c r="Q37" s="87"/>
      <c r="R37" s="7"/>
      <c r="S37" s="105"/>
      <c r="T37" s="105"/>
      <c r="U37" s="105"/>
    </row>
    <row r="38" spans="1:21" s="163" customFormat="1" ht="19.899999999999999" customHeight="1" x14ac:dyDescent="0.2">
      <c r="A38" s="204"/>
      <c r="B38" s="127" t="s">
        <v>98</v>
      </c>
      <c r="C38" s="211">
        <v>5</v>
      </c>
      <c r="D38" s="212" t="s">
        <v>94</v>
      </c>
      <c r="E38" s="211" t="s">
        <v>17</v>
      </c>
      <c r="F38" s="212">
        <v>1</v>
      </c>
      <c r="G38" s="212" t="s">
        <v>95</v>
      </c>
      <c r="H38" s="211" t="s">
        <v>17</v>
      </c>
      <c r="I38" s="213">
        <v>4646</v>
      </c>
      <c r="J38" s="170" t="s">
        <v>83</v>
      </c>
      <c r="K38" s="214"/>
      <c r="L38" s="214"/>
      <c r="M38" s="214"/>
      <c r="N38" s="215">
        <f>C38*F38*I38</f>
        <v>23230</v>
      </c>
      <c r="O38" s="171" t="s">
        <v>36</v>
      </c>
      <c r="P38" s="216">
        <v>12500</v>
      </c>
      <c r="Q38" s="216">
        <f>N38*P38</f>
        <v>290375000</v>
      </c>
      <c r="R38" s="7"/>
      <c r="S38" s="105"/>
      <c r="T38" s="105"/>
      <c r="U38" s="105"/>
    </row>
    <row r="39" spans="1:21" s="168" customFormat="1" ht="19.899999999999999" customHeight="1" x14ac:dyDescent="0.25">
      <c r="A39" s="204"/>
      <c r="B39" s="210" t="s">
        <v>93</v>
      </c>
      <c r="C39" s="151"/>
      <c r="D39" s="75"/>
      <c r="E39" s="75"/>
      <c r="F39" s="75"/>
      <c r="G39" s="75"/>
      <c r="H39" s="75"/>
      <c r="I39" s="75"/>
      <c r="J39" s="75"/>
      <c r="K39" s="73"/>
      <c r="L39" s="73"/>
      <c r="M39" s="73"/>
      <c r="N39" s="67"/>
      <c r="O39" s="68"/>
      <c r="P39" s="85"/>
      <c r="Q39" s="87"/>
      <c r="R39" s="7"/>
      <c r="S39" s="105"/>
      <c r="T39" s="105"/>
      <c r="U39" s="105"/>
    </row>
    <row r="40" spans="1:21" s="168" customFormat="1" ht="19.899999999999999" customHeight="1" x14ac:dyDescent="0.2">
      <c r="A40" s="204"/>
      <c r="B40" s="127" t="s">
        <v>97</v>
      </c>
      <c r="C40" s="211">
        <v>5</v>
      </c>
      <c r="D40" s="212" t="s">
        <v>94</v>
      </c>
      <c r="E40" s="211" t="s">
        <v>17</v>
      </c>
      <c r="F40" s="212">
        <v>1</v>
      </c>
      <c r="G40" s="212" t="s">
        <v>95</v>
      </c>
      <c r="H40" s="211" t="s">
        <v>17</v>
      </c>
      <c r="I40" s="213">
        <v>4646</v>
      </c>
      <c r="J40" s="170" t="s">
        <v>83</v>
      </c>
      <c r="K40" s="214"/>
      <c r="L40" s="214"/>
      <c r="M40" s="214"/>
      <c r="N40" s="215">
        <f>C40*F40*I40</f>
        <v>23230</v>
      </c>
      <c r="O40" s="171" t="s">
        <v>36</v>
      </c>
      <c r="P40" s="216">
        <v>12500</v>
      </c>
      <c r="Q40" s="216">
        <f>N40*P40</f>
        <v>290375000</v>
      </c>
      <c r="R40" s="7"/>
      <c r="S40" s="105"/>
      <c r="T40" s="105"/>
      <c r="U40" s="105"/>
    </row>
    <row r="41" spans="1:21" ht="21" customHeight="1" x14ac:dyDescent="0.2">
      <c r="A41" s="228"/>
      <c r="B41" s="25"/>
      <c r="C41" s="26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15"/>
      <c r="O41" s="116"/>
      <c r="P41" s="117"/>
      <c r="Q41" s="118"/>
      <c r="R41" s="7"/>
      <c r="S41" s="105"/>
      <c r="T41" s="105"/>
      <c r="U41" s="105"/>
    </row>
    <row r="42" spans="1:21" ht="19.5" customHeight="1" thickBot="1" x14ac:dyDescent="0.25">
      <c r="A42" s="229"/>
      <c r="B42" s="27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30"/>
      <c r="O42" s="29"/>
      <c r="P42" s="31"/>
      <c r="Q42" s="32"/>
      <c r="R42" s="7"/>
      <c r="T42" s="105"/>
      <c r="U42" s="105"/>
    </row>
    <row r="43" spans="1:21" ht="19.5" customHeight="1" x14ac:dyDescent="0.2">
      <c r="A43" s="8"/>
      <c r="B43" s="9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10"/>
      <c r="O43" s="98"/>
      <c r="P43" s="11"/>
      <c r="Q43" s="7"/>
      <c r="R43" s="7"/>
      <c r="T43" s="105"/>
      <c r="U43" s="105"/>
    </row>
    <row r="44" spans="1:21" ht="19.899999999999999" customHeight="1" x14ac:dyDescent="0.2">
      <c r="A44" s="206"/>
      <c r="B44" s="206"/>
      <c r="C44" s="207"/>
      <c r="D44" s="207"/>
      <c r="E44" s="207"/>
      <c r="F44" s="207"/>
      <c r="G44" s="207"/>
      <c r="H44" s="244" t="s">
        <v>75</v>
      </c>
      <c r="I44" s="244"/>
      <c r="J44" s="244"/>
      <c r="K44" s="244"/>
      <c r="L44" s="244"/>
      <c r="M44" s="244"/>
      <c r="N44" s="244"/>
      <c r="O44" s="244"/>
      <c r="P44" s="244"/>
      <c r="Q44" s="244"/>
      <c r="R44" s="96"/>
      <c r="S44" s="105"/>
      <c r="T44" s="105"/>
      <c r="U44" s="105"/>
    </row>
    <row r="45" spans="1:21" ht="19.899999999999999" customHeight="1" x14ac:dyDescent="0.25">
      <c r="A45" s="206"/>
      <c r="B45" s="208"/>
      <c r="C45" s="207"/>
      <c r="D45" s="207"/>
      <c r="E45" s="207"/>
      <c r="F45" s="207"/>
      <c r="G45" s="207"/>
      <c r="H45" s="244"/>
      <c r="I45" s="244"/>
      <c r="J45" s="244"/>
      <c r="K45" s="244"/>
      <c r="L45" s="244"/>
      <c r="M45" s="244"/>
      <c r="N45" s="244"/>
      <c r="O45" s="244"/>
      <c r="P45" s="244"/>
      <c r="Q45" s="244"/>
      <c r="R45" s="96"/>
      <c r="T45" s="105"/>
      <c r="U45" s="105"/>
    </row>
    <row r="46" spans="1:21" ht="19.899999999999999" customHeight="1" x14ac:dyDescent="0.2">
      <c r="A46" s="206"/>
      <c r="B46" s="207" t="s">
        <v>44</v>
      </c>
      <c r="C46" s="207"/>
      <c r="D46" s="207"/>
      <c r="E46" s="207"/>
      <c r="F46" s="207"/>
      <c r="G46" s="207"/>
      <c r="H46" s="244" t="s">
        <v>45</v>
      </c>
      <c r="I46" s="244"/>
      <c r="J46" s="244"/>
      <c r="K46" s="244"/>
      <c r="L46" s="244"/>
      <c r="M46" s="244"/>
      <c r="N46" s="244"/>
      <c r="O46" s="244"/>
      <c r="P46" s="244"/>
      <c r="Q46" s="244"/>
      <c r="R46" s="96"/>
      <c r="T46" s="105"/>
      <c r="U46" s="105"/>
    </row>
    <row r="47" spans="1:21" ht="19.899999999999999" customHeight="1" x14ac:dyDescent="0.2">
      <c r="A47" s="206"/>
      <c r="B47" s="207"/>
      <c r="C47" s="207"/>
      <c r="D47" s="207"/>
      <c r="E47" s="207"/>
      <c r="F47" s="207"/>
      <c r="G47" s="207"/>
      <c r="H47" s="207"/>
      <c r="I47" s="207"/>
      <c r="J47" s="207"/>
      <c r="K47" s="207"/>
      <c r="L47" s="207"/>
      <c r="M47" s="207"/>
      <c r="N47" s="207"/>
      <c r="O47" s="207"/>
      <c r="P47" s="207"/>
      <c r="Q47" s="207"/>
      <c r="R47" s="96"/>
      <c r="T47" s="105"/>
      <c r="U47" s="105"/>
    </row>
    <row r="48" spans="1:21" ht="19.899999999999999" customHeight="1" x14ac:dyDescent="0.2">
      <c r="A48" s="206"/>
      <c r="B48" s="207"/>
      <c r="C48" s="207"/>
      <c r="D48" s="207"/>
      <c r="E48" s="207"/>
      <c r="F48" s="207"/>
      <c r="G48" s="207"/>
      <c r="H48" s="207"/>
      <c r="I48" s="207"/>
      <c r="J48" s="207"/>
      <c r="K48" s="207"/>
      <c r="L48" s="207"/>
      <c r="M48" s="207"/>
      <c r="N48" s="206"/>
      <c r="O48" s="206"/>
      <c r="P48" s="206"/>
      <c r="Q48" s="206"/>
      <c r="R48" s="96"/>
      <c r="T48" s="105"/>
      <c r="U48" s="105"/>
    </row>
    <row r="49" spans="1:21" ht="19.899999999999999" customHeight="1" x14ac:dyDescent="0.2">
      <c r="A49" s="206"/>
      <c r="B49" s="207"/>
      <c r="C49" s="207"/>
      <c r="D49" s="207"/>
      <c r="E49" s="207"/>
      <c r="F49" s="207"/>
      <c r="G49" s="207"/>
      <c r="H49" s="207"/>
      <c r="I49" s="207"/>
      <c r="J49" s="207"/>
      <c r="K49" s="207"/>
      <c r="L49" s="207"/>
      <c r="M49" s="207"/>
      <c r="N49" s="244"/>
      <c r="O49" s="244"/>
      <c r="P49" s="244"/>
      <c r="Q49" s="206"/>
      <c r="R49" s="96"/>
      <c r="T49" s="105"/>
      <c r="U49" s="105"/>
    </row>
    <row r="50" spans="1:21" ht="19.899999999999999" customHeight="1" x14ac:dyDescent="0.2">
      <c r="A50" s="206"/>
      <c r="B50" s="209" t="s">
        <v>46</v>
      </c>
      <c r="C50" s="207"/>
      <c r="D50" s="207"/>
      <c r="E50" s="207"/>
      <c r="F50" s="207"/>
      <c r="G50" s="207"/>
      <c r="H50" s="245" t="s">
        <v>53</v>
      </c>
      <c r="I50" s="245"/>
      <c r="J50" s="245"/>
      <c r="K50" s="245"/>
      <c r="L50" s="245"/>
      <c r="M50" s="245"/>
      <c r="N50" s="245"/>
      <c r="O50" s="245"/>
      <c r="P50" s="245"/>
      <c r="Q50" s="245"/>
      <c r="R50" s="96"/>
      <c r="T50" s="105"/>
      <c r="U50" s="105"/>
    </row>
    <row r="51" spans="1:21" ht="15.75" customHeight="1" x14ac:dyDescent="0.2">
      <c r="A51" s="96"/>
      <c r="B51" s="96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6"/>
      <c r="O51" s="96"/>
      <c r="P51" s="96"/>
      <c r="Q51" s="96"/>
      <c r="R51" s="96"/>
      <c r="T51" s="105"/>
      <c r="U51" s="105"/>
    </row>
    <row r="52" spans="1:21" ht="15.75" customHeight="1" x14ac:dyDescent="0.2">
      <c r="A52" s="96"/>
      <c r="B52" s="96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6"/>
      <c r="O52" s="96"/>
      <c r="P52" s="96"/>
      <c r="Q52" s="96"/>
      <c r="R52" s="96"/>
      <c r="T52" s="105"/>
      <c r="U52" s="105"/>
    </row>
    <row r="53" spans="1:21" ht="15.75" customHeight="1" x14ac:dyDescent="0.2">
      <c r="A53" s="134" t="s">
        <v>65</v>
      </c>
      <c r="B53" s="134"/>
      <c r="C53" s="157"/>
      <c r="D53" s="157"/>
      <c r="E53" s="98"/>
      <c r="F53" s="98"/>
      <c r="G53" s="98"/>
      <c r="H53" s="98"/>
      <c r="I53" s="98"/>
      <c r="J53" s="98"/>
      <c r="K53" s="98"/>
      <c r="L53" s="98"/>
      <c r="M53" s="98"/>
      <c r="N53" s="96"/>
      <c r="O53" s="96"/>
      <c r="P53" s="96"/>
      <c r="Q53" s="96"/>
      <c r="R53" s="96"/>
      <c r="T53" s="105"/>
      <c r="U53" s="105"/>
    </row>
    <row r="54" spans="1:21" ht="15.75" customHeight="1" x14ac:dyDescent="0.2">
      <c r="A54" s="135" t="s">
        <v>54</v>
      </c>
      <c r="B54" s="136" t="s">
        <v>55</v>
      </c>
      <c r="C54" s="150">
        <v>300000</v>
      </c>
      <c r="D54" s="157"/>
      <c r="E54" s="98"/>
      <c r="F54" s="98"/>
      <c r="G54" s="98"/>
      <c r="H54" s="98"/>
      <c r="I54" s="98"/>
      <c r="J54" s="98"/>
      <c r="K54" s="98"/>
      <c r="L54" s="98"/>
      <c r="M54" s="98"/>
      <c r="N54" s="96"/>
      <c r="O54" s="96"/>
      <c r="P54" s="96"/>
      <c r="Q54" s="96"/>
      <c r="R54" s="96"/>
      <c r="T54" s="105"/>
      <c r="U54" s="105"/>
    </row>
    <row r="55" spans="1:21" ht="15.75" customHeight="1" x14ac:dyDescent="0.2">
      <c r="A55" s="135" t="s">
        <v>54</v>
      </c>
      <c r="B55" s="136" t="s">
        <v>62</v>
      </c>
      <c r="C55" s="150">
        <v>200000</v>
      </c>
      <c r="D55" s="157"/>
      <c r="E55" s="98"/>
      <c r="F55" s="98"/>
      <c r="G55" s="98"/>
      <c r="H55" s="98"/>
      <c r="I55" s="98"/>
      <c r="J55" s="98"/>
      <c r="K55" s="98"/>
      <c r="L55" s="98"/>
      <c r="M55" s="98"/>
      <c r="N55" s="96"/>
      <c r="O55" s="96"/>
      <c r="P55" s="96"/>
      <c r="Q55" s="96"/>
      <c r="R55" s="96"/>
      <c r="T55" s="105"/>
      <c r="U55" s="105"/>
    </row>
    <row r="56" spans="1:21" s="154" customFormat="1" ht="15.75" customHeight="1" x14ac:dyDescent="0.2">
      <c r="A56" s="135" t="s">
        <v>54</v>
      </c>
      <c r="B56" s="136" t="s">
        <v>59</v>
      </c>
      <c r="C56" s="150">
        <v>200000</v>
      </c>
      <c r="D56" s="157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156"/>
      <c r="P56" s="156"/>
      <c r="Q56" s="156"/>
      <c r="R56" s="156"/>
      <c r="T56" s="105"/>
      <c r="U56" s="105"/>
    </row>
    <row r="57" spans="1:21" s="154" customFormat="1" ht="15.75" customHeight="1" x14ac:dyDescent="0.2">
      <c r="A57" s="135" t="s">
        <v>54</v>
      </c>
      <c r="B57" s="136" t="s">
        <v>67</v>
      </c>
      <c r="C57" s="150">
        <v>1000000</v>
      </c>
      <c r="D57" s="157"/>
      <c r="E57" s="155"/>
      <c r="F57" s="155"/>
      <c r="G57" s="155"/>
      <c r="H57" s="155"/>
      <c r="I57" s="155"/>
      <c r="J57" s="155"/>
      <c r="K57" s="155"/>
      <c r="L57" s="155"/>
      <c r="M57" s="155"/>
      <c r="N57" s="156"/>
      <c r="O57" s="156"/>
      <c r="P57" s="156"/>
      <c r="Q57" s="156"/>
      <c r="R57" s="156"/>
      <c r="T57" s="105"/>
      <c r="U57" s="105"/>
    </row>
    <row r="58" spans="1:21" s="154" customFormat="1" ht="15.75" customHeight="1" x14ac:dyDescent="0.2">
      <c r="A58" s="135" t="s">
        <v>54</v>
      </c>
      <c r="B58" s="136" t="s">
        <v>70</v>
      </c>
      <c r="C58" s="150">
        <v>100000</v>
      </c>
      <c r="D58" s="157"/>
      <c r="E58" s="155"/>
      <c r="F58" s="155"/>
      <c r="G58" s="155"/>
      <c r="H58" s="155"/>
      <c r="I58" s="155"/>
      <c r="J58" s="155"/>
      <c r="K58" s="155"/>
      <c r="L58" s="155"/>
      <c r="M58" s="155"/>
      <c r="N58" s="156"/>
      <c r="O58" s="156"/>
      <c r="P58" s="156"/>
      <c r="Q58" s="156"/>
      <c r="R58" s="156"/>
      <c r="T58" s="105"/>
      <c r="U58" s="105"/>
    </row>
    <row r="59" spans="1:21" s="138" customFormat="1" ht="15.75" customHeight="1" x14ac:dyDescent="0.2">
      <c r="A59" s="135" t="s">
        <v>54</v>
      </c>
      <c r="B59" s="136" t="s">
        <v>71</v>
      </c>
      <c r="C59" s="159">
        <v>200000</v>
      </c>
      <c r="D59" s="157"/>
      <c r="E59" s="139"/>
      <c r="F59" s="139"/>
      <c r="G59" s="139"/>
      <c r="H59" s="139"/>
      <c r="I59" s="139"/>
      <c r="J59" s="139"/>
      <c r="K59" s="139"/>
      <c r="L59" s="139"/>
      <c r="M59" s="139"/>
      <c r="N59" s="141"/>
      <c r="O59" s="141"/>
      <c r="P59" s="141"/>
      <c r="Q59" s="141"/>
      <c r="R59" s="141"/>
      <c r="T59" s="105"/>
      <c r="U59" s="105"/>
    </row>
    <row r="60" spans="1:21" s="143" customFormat="1" ht="15.75" customHeight="1" thickBot="1" x14ac:dyDescent="0.25">
      <c r="A60" s="135"/>
      <c r="B60" s="136"/>
      <c r="C60" s="160">
        <f>SUM(C54:C59)</f>
        <v>2000000</v>
      </c>
      <c r="D60" s="157"/>
      <c r="E60" s="144"/>
      <c r="F60" s="144"/>
      <c r="G60" s="144"/>
      <c r="H60" s="144"/>
      <c r="I60" s="144"/>
      <c r="J60" s="144"/>
      <c r="K60" s="144"/>
      <c r="L60" s="144"/>
      <c r="M60" s="144"/>
      <c r="N60" s="146"/>
      <c r="O60" s="146"/>
      <c r="P60" s="146"/>
      <c r="Q60" s="146"/>
      <c r="R60" s="146"/>
      <c r="T60" s="105"/>
      <c r="U60" s="105"/>
    </row>
    <row r="61" spans="1:21" s="143" customFormat="1" ht="15.75" customHeight="1" x14ac:dyDescent="0.2">
      <c r="A61" s="135"/>
      <c r="B61" s="136"/>
      <c r="C61" s="142"/>
      <c r="D61" s="157"/>
      <c r="E61" s="144"/>
      <c r="F61" s="144"/>
      <c r="G61" s="144"/>
      <c r="H61" s="144"/>
      <c r="I61" s="144"/>
      <c r="J61" s="144"/>
      <c r="K61" s="144"/>
      <c r="L61" s="144"/>
      <c r="M61" s="144"/>
      <c r="N61" s="146"/>
      <c r="O61" s="146"/>
      <c r="P61" s="146"/>
      <c r="Q61" s="146"/>
      <c r="R61" s="146"/>
      <c r="T61" s="105"/>
      <c r="U61" s="105"/>
    </row>
    <row r="62" spans="1:21" s="143" customFormat="1" ht="15.75" customHeight="1" x14ac:dyDescent="0.2">
      <c r="A62" s="135"/>
      <c r="B62" s="137"/>
      <c r="C62" s="157"/>
      <c r="D62" s="157"/>
      <c r="E62" s="144"/>
      <c r="F62" s="144"/>
      <c r="G62" s="144"/>
      <c r="H62" s="144"/>
      <c r="I62" s="144"/>
      <c r="J62" s="144"/>
      <c r="K62" s="144"/>
      <c r="L62" s="144"/>
      <c r="M62" s="144"/>
      <c r="N62" s="146"/>
      <c r="O62" s="146"/>
      <c r="P62" s="146"/>
      <c r="Q62" s="146"/>
      <c r="R62" s="146"/>
      <c r="T62" s="105"/>
      <c r="U62" s="105"/>
    </row>
    <row r="63" spans="1:21" s="143" customFormat="1" ht="15.75" customHeight="1" x14ac:dyDescent="0.2">
      <c r="A63" s="134" t="s">
        <v>66</v>
      </c>
      <c r="B63" s="134"/>
      <c r="C63" s="157"/>
      <c r="D63" s="157"/>
      <c r="E63" s="144"/>
      <c r="F63" s="144"/>
      <c r="G63" s="144"/>
      <c r="H63" s="144"/>
      <c r="I63" s="144"/>
      <c r="J63" s="144"/>
      <c r="K63" s="144"/>
      <c r="L63" s="144"/>
      <c r="M63" s="144"/>
      <c r="N63" s="146"/>
      <c r="O63" s="146"/>
      <c r="P63" s="146"/>
      <c r="Q63" s="146"/>
      <c r="R63" s="146"/>
      <c r="T63" s="105"/>
      <c r="U63" s="105"/>
    </row>
    <row r="64" spans="1:21" ht="15.75" customHeight="1" x14ac:dyDescent="0.2">
      <c r="A64" s="135" t="s">
        <v>54</v>
      </c>
      <c r="B64" s="136" t="s">
        <v>56</v>
      </c>
      <c r="C64" s="157"/>
      <c r="D64" s="157"/>
      <c r="E64" s="98"/>
      <c r="F64" s="98"/>
      <c r="G64" s="98"/>
      <c r="H64" s="98"/>
      <c r="I64" s="98"/>
      <c r="J64" s="98"/>
      <c r="K64" s="98"/>
      <c r="L64" s="98"/>
      <c r="M64" s="98"/>
      <c r="N64" s="96"/>
      <c r="O64" s="96"/>
      <c r="P64" s="96"/>
      <c r="Q64" s="96"/>
      <c r="R64" s="96"/>
      <c r="T64" s="105"/>
      <c r="U64" s="105"/>
    </row>
    <row r="65" spans="1:21" ht="15.75" customHeight="1" x14ac:dyDescent="0.2">
      <c r="A65" s="135" t="s">
        <v>54</v>
      </c>
      <c r="B65" s="136" t="s">
        <v>69</v>
      </c>
      <c r="C65" s="157"/>
      <c r="D65" s="157"/>
      <c r="E65" s="98"/>
      <c r="F65" s="98"/>
      <c r="G65" s="98"/>
      <c r="H65" s="98"/>
      <c r="I65" s="98"/>
      <c r="J65" s="98"/>
      <c r="K65" s="98"/>
      <c r="L65" s="98"/>
      <c r="M65" s="98"/>
      <c r="N65" s="96"/>
      <c r="O65" s="96"/>
      <c r="P65" s="96"/>
      <c r="Q65" s="96"/>
      <c r="R65" s="96"/>
      <c r="T65" s="105"/>
      <c r="U65" s="105"/>
    </row>
    <row r="66" spans="1:21" ht="15.75" customHeight="1" x14ac:dyDescent="0.2">
      <c r="A66" s="135" t="s">
        <v>54</v>
      </c>
      <c r="B66" s="136" t="s">
        <v>58</v>
      </c>
      <c r="C66" s="157"/>
      <c r="D66" s="157"/>
      <c r="E66" s="98"/>
      <c r="F66" s="98"/>
      <c r="G66" s="98"/>
      <c r="H66" s="98"/>
      <c r="I66" s="98"/>
      <c r="J66" s="98"/>
      <c r="K66" s="98"/>
      <c r="L66" s="98"/>
      <c r="M66" s="98"/>
      <c r="N66" s="96"/>
      <c r="O66" s="96"/>
      <c r="P66" s="96"/>
      <c r="Q66" s="96"/>
      <c r="R66" s="96"/>
      <c r="T66" s="105"/>
      <c r="U66" s="105"/>
    </row>
    <row r="67" spans="1:21" ht="15.75" customHeight="1" x14ac:dyDescent="0.2">
      <c r="A67" s="135" t="s">
        <v>54</v>
      </c>
      <c r="B67" s="136" t="s">
        <v>68</v>
      </c>
      <c r="C67" s="157"/>
      <c r="D67" s="157"/>
      <c r="E67" s="98"/>
      <c r="F67" s="98"/>
      <c r="G67" s="98"/>
      <c r="H67" s="98"/>
      <c r="I67" s="98"/>
      <c r="J67" s="98"/>
      <c r="K67" s="98"/>
      <c r="L67" s="98"/>
      <c r="M67" s="98"/>
      <c r="N67" s="96"/>
      <c r="O67" s="96"/>
      <c r="P67" s="96"/>
      <c r="Q67" s="96"/>
      <c r="R67" s="96"/>
      <c r="T67" s="105"/>
      <c r="U67" s="105"/>
    </row>
    <row r="68" spans="1:21" ht="15.75" customHeight="1" x14ac:dyDescent="0.2">
      <c r="A68" s="158"/>
      <c r="B68" s="158"/>
      <c r="C68" s="157"/>
      <c r="D68" s="157"/>
      <c r="E68" s="98"/>
      <c r="F68" s="98"/>
      <c r="G68" s="98"/>
      <c r="H68" s="98"/>
      <c r="I68" s="98"/>
      <c r="J68" s="98"/>
      <c r="K68" s="98"/>
      <c r="L68" s="98"/>
      <c r="M68" s="98"/>
      <c r="N68" s="96"/>
      <c r="O68" s="96"/>
      <c r="P68" s="96"/>
      <c r="Q68" s="96"/>
      <c r="R68" s="96"/>
      <c r="T68" s="105"/>
      <c r="U68" s="105"/>
    </row>
    <row r="69" spans="1:21" ht="15.75" customHeight="1" x14ac:dyDescent="0.2">
      <c r="A69" s="135"/>
      <c r="B69" s="136"/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6"/>
      <c r="O69" s="96"/>
      <c r="P69" s="96"/>
      <c r="Q69" s="96"/>
      <c r="R69" s="96"/>
      <c r="T69" s="105"/>
      <c r="U69" s="105"/>
    </row>
    <row r="70" spans="1:21" ht="15.75" customHeight="1" x14ac:dyDescent="0.2">
      <c r="A70" s="141"/>
      <c r="B70" s="141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6"/>
      <c r="O70" s="96"/>
      <c r="P70" s="96"/>
      <c r="Q70" s="96"/>
      <c r="R70" s="96"/>
      <c r="T70" s="105"/>
      <c r="U70" s="105"/>
    </row>
    <row r="71" spans="1:21" ht="15.75" customHeight="1" x14ac:dyDescent="0.2">
      <c r="A71" s="141"/>
      <c r="B71" s="141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6"/>
      <c r="O71" s="96"/>
      <c r="P71" s="96"/>
      <c r="Q71" s="96"/>
      <c r="R71" s="96"/>
      <c r="T71" s="105"/>
      <c r="U71" s="105"/>
    </row>
    <row r="72" spans="1:21" ht="15.75" customHeight="1" x14ac:dyDescent="0.2">
      <c r="A72" s="96"/>
      <c r="B72" s="96"/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6"/>
      <c r="O72" s="96"/>
      <c r="P72" s="96"/>
      <c r="Q72" s="96"/>
      <c r="R72" s="96"/>
      <c r="T72" s="105"/>
      <c r="U72" s="105"/>
    </row>
    <row r="73" spans="1:21" ht="15.75" customHeight="1" x14ac:dyDescent="0.2">
      <c r="A73" s="96"/>
      <c r="B73" s="96"/>
      <c r="C73" s="98"/>
      <c r="D73" s="98"/>
      <c r="E73" s="98"/>
      <c r="F73" s="98"/>
      <c r="G73" s="98"/>
      <c r="H73" s="98"/>
      <c r="I73" s="98"/>
      <c r="J73" s="98"/>
      <c r="K73" s="98"/>
      <c r="L73" s="98"/>
      <c r="M73" s="98"/>
      <c r="N73" s="96"/>
      <c r="O73" s="96"/>
      <c r="P73" s="96"/>
      <c r="Q73" s="96"/>
      <c r="R73" s="96"/>
      <c r="T73" s="105"/>
      <c r="U73" s="105"/>
    </row>
    <row r="74" spans="1:21" ht="15.75" customHeight="1" x14ac:dyDescent="0.2">
      <c r="A74" s="96"/>
      <c r="B74" s="96"/>
      <c r="C74" s="98"/>
      <c r="D74" s="98"/>
      <c r="E74" s="98"/>
      <c r="F74" s="98"/>
      <c r="G74" s="98"/>
      <c r="H74" s="98"/>
      <c r="I74" s="98"/>
      <c r="J74" s="98"/>
      <c r="K74" s="98"/>
      <c r="L74" s="98"/>
      <c r="M74" s="98"/>
      <c r="N74" s="96"/>
      <c r="O74" s="96"/>
      <c r="P74" s="96"/>
      <c r="Q74" s="96"/>
      <c r="R74" s="96"/>
      <c r="T74" s="105"/>
      <c r="U74" s="105"/>
    </row>
    <row r="75" spans="1:21" ht="15.75" customHeight="1" x14ac:dyDescent="0.2">
      <c r="A75" s="96"/>
      <c r="B75" s="96"/>
      <c r="C75" s="98"/>
      <c r="D75" s="98"/>
      <c r="E75" s="98"/>
      <c r="F75" s="98"/>
      <c r="G75" s="98"/>
      <c r="H75" s="98"/>
      <c r="I75" s="98"/>
      <c r="J75" s="98"/>
      <c r="K75" s="98"/>
      <c r="L75" s="98"/>
      <c r="M75" s="98"/>
      <c r="N75" s="96"/>
      <c r="O75" s="96"/>
      <c r="P75" s="96"/>
      <c r="Q75" s="96"/>
      <c r="R75" s="96"/>
      <c r="T75" s="105"/>
      <c r="U75" s="105"/>
    </row>
    <row r="76" spans="1:21" ht="15.75" customHeight="1" x14ac:dyDescent="0.2">
      <c r="A76" s="96"/>
      <c r="B76" s="96"/>
      <c r="C76" s="98"/>
      <c r="D76" s="98"/>
      <c r="E76" s="98"/>
      <c r="F76" s="98"/>
      <c r="G76" s="98"/>
      <c r="H76" s="98"/>
      <c r="I76" s="98"/>
      <c r="J76" s="98"/>
      <c r="K76" s="98"/>
      <c r="L76" s="98"/>
      <c r="M76" s="98"/>
      <c r="N76" s="96"/>
      <c r="O76" s="96"/>
      <c r="P76" s="96"/>
      <c r="Q76" s="96"/>
      <c r="R76" s="96"/>
      <c r="T76" s="105"/>
      <c r="U76" s="105"/>
    </row>
    <row r="77" spans="1:21" ht="15.75" customHeight="1" x14ac:dyDescent="0.2">
      <c r="A77" s="96"/>
      <c r="B77" s="96"/>
      <c r="C77" s="98"/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6"/>
      <c r="O77" s="96"/>
      <c r="P77" s="96"/>
      <c r="Q77" s="96"/>
      <c r="R77" s="96"/>
      <c r="T77" s="105"/>
      <c r="U77" s="105"/>
    </row>
    <row r="78" spans="1:21" ht="15.75" customHeight="1" x14ac:dyDescent="0.2">
      <c r="A78" s="96"/>
      <c r="B78" s="96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6"/>
      <c r="O78" s="96"/>
      <c r="P78" s="96"/>
      <c r="Q78" s="96"/>
      <c r="R78" s="96"/>
      <c r="T78" s="105"/>
      <c r="U78" s="105"/>
    </row>
    <row r="79" spans="1:21" ht="15.75" customHeight="1" x14ac:dyDescent="0.2">
      <c r="A79" s="96"/>
      <c r="B79" s="96"/>
      <c r="C79" s="98"/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6"/>
      <c r="O79" s="96"/>
      <c r="P79" s="96"/>
      <c r="Q79" s="96"/>
      <c r="R79" s="96"/>
      <c r="T79" s="105"/>
      <c r="U79" s="105"/>
    </row>
    <row r="80" spans="1:21" ht="15.75" customHeight="1" x14ac:dyDescent="0.2">
      <c r="A80" s="96"/>
      <c r="B80" s="96"/>
      <c r="C80" s="98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6"/>
      <c r="O80" s="96"/>
      <c r="P80" s="96"/>
      <c r="Q80" s="96"/>
      <c r="R80" s="96"/>
      <c r="T80" s="105"/>
      <c r="U80" s="105"/>
    </row>
    <row r="81" spans="1:21" ht="15.75" customHeight="1" x14ac:dyDescent="0.2">
      <c r="A81" s="96"/>
      <c r="B81" s="96"/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6"/>
      <c r="O81" s="96"/>
      <c r="P81" s="96"/>
      <c r="Q81" s="96"/>
      <c r="R81" s="96"/>
      <c r="T81" s="105"/>
      <c r="U81" s="105"/>
    </row>
    <row r="82" spans="1:21" ht="15.75" customHeight="1" x14ac:dyDescent="0.2">
      <c r="A82" s="96"/>
      <c r="B82" s="96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6"/>
      <c r="O82" s="96"/>
      <c r="P82" s="96"/>
      <c r="Q82" s="96"/>
      <c r="R82" s="96"/>
      <c r="T82" s="105"/>
      <c r="U82" s="105"/>
    </row>
    <row r="83" spans="1:21" ht="15.75" customHeight="1" x14ac:dyDescent="0.2">
      <c r="A83" s="96"/>
      <c r="B83" s="96"/>
      <c r="C83" s="98"/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6"/>
      <c r="O83" s="96"/>
      <c r="P83" s="96"/>
      <c r="Q83" s="96"/>
      <c r="R83" s="96"/>
      <c r="T83" s="105"/>
      <c r="U83" s="105"/>
    </row>
    <row r="84" spans="1:21" ht="15.75" customHeight="1" x14ac:dyDescent="0.2">
      <c r="A84" s="96"/>
      <c r="B84" s="96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6"/>
      <c r="O84" s="96"/>
      <c r="P84" s="96"/>
      <c r="Q84" s="96"/>
      <c r="R84" s="96"/>
      <c r="T84" s="105"/>
      <c r="U84" s="105"/>
    </row>
    <row r="85" spans="1:21" ht="15.75" customHeight="1" x14ac:dyDescent="0.2">
      <c r="A85" s="96"/>
      <c r="B85" s="96"/>
      <c r="C85" s="98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6"/>
      <c r="O85" s="96"/>
      <c r="P85" s="96"/>
      <c r="Q85" s="96"/>
      <c r="R85" s="96"/>
      <c r="T85" s="105"/>
      <c r="U85" s="105"/>
    </row>
    <row r="86" spans="1:21" ht="15.75" customHeight="1" x14ac:dyDescent="0.2">
      <c r="A86" s="96"/>
      <c r="B86" s="96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6"/>
      <c r="O86" s="96"/>
      <c r="P86" s="96"/>
      <c r="Q86" s="96"/>
      <c r="R86" s="96"/>
      <c r="T86" s="105"/>
      <c r="U86" s="105"/>
    </row>
    <row r="87" spans="1:21" ht="15.75" customHeight="1" x14ac:dyDescent="0.2">
      <c r="A87" s="96"/>
      <c r="B87" s="96"/>
      <c r="C87" s="98"/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6"/>
      <c r="O87" s="96"/>
      <c r="P87" s="96"/>
      <c r="Q87" s="96"/>
      <c r="R87" s="96"/>
      <c r="T87" s="105"/>
      <c r="U87" s="105"/>
    </row>
    <row r="88" spans="1:21" ht="15.75" customHeight="1" x14ac:dyDescent="0.2">
      <c r="A88" s="96"/>
      <c r="B88" s="96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6"/>
      <c r="O88" s="96"/>
      <c r="P88" s="96"/>
      <c r="Q88" s="96"/>
      <c r="R88" s="96"/>
      <c r="T88" s="105"/>
      <c r="U88" s="105"/>
    </row>
    <row r="89" spans="1:21" ht="15.75" customHeight="1" x14ac:dyDescent="0.2">
      <c r="A89" s="96"/>
      <c r="B89" s="96"/>
      <c r="C89" s="98"/>
      <c r="D89" s="98"/>
      <c r="E89" s="98"/>
      <c r="F89" s="98"/>
      <c r="G89" s="98"/>
      <c r="H89" s="98"/>
      <c r="I89" s="98"/>
      <c r="J89" s="98"/>
      <c r="K89" s="98"/>
      <c r="L89" s="98"/>
      <c r="M89" s="98"/>
      <c r="N89" s="96"/>
      <c r="O89" s="96"/>
      <c r="P89" s="96"/>
      <c r="Q89" s="96"/>
      <c r="R89" s="96"/>
      <c r="T89" s="105"/>
      <c r="U89" s="105"/>
    </row>
    <row r="90" spans="1:21" ht="15.75" customHeight="1" x14ac:dyDescent="0.2">
      <c r="A90" s="96"/>
      <c r="B90" s="96"/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6"/>
      <c r="O90" s="96"/>
      <c r="P90" s="96"/>
      <c r="Q90" s="96"/>
      <c r="R90" s="96"/>
      <c r="T90" s="105"/>
      <c r="U90" s="105"/>
    </row>
    <row r="91" spans="1:21" ht="15.75" customHeight="1" x14ac:dyDescent="0.2">
      <c r="A91" s="96"/>
      <c r="B91" s="96"/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6"/>
      <c r="O91" s="96"/>
      <c r="P91" s="96"/>
      <c r="Q91" s="96"/>
      <c r="R91" s="96"/>
      <c r="T91" s="105"/>
      <c r="U91" s="105"/>
    </row>
    <row r="92" spans="1:21" ht="15.75" customHeight="1" x14ac:dyDescent="0.2">
      <c r="A92" s="96"/>
      <c r="B92" s="96"/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6"/>
      <c r="O92" s="96"/>
      <c r="P92" s="96"/>
      <c r="Q92" s="96"/>
      <c r="R92" s="96"/>
      <c r="T92" s="105"/>
      <c r="U92" s="105"/>
    </row>
    <row r="93" spans="1:21" ht="15.75" customHeight="1" x14ac:dyDescent="0.2">
      <c r="A93" s="96"/>
      <c r="B93" s="96"/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6"/>
      <c r="O93" s="96"/>
      <c r="P93" s="96"/>
      <c r="Q93" s="96"/>
      <c r="R93" s="96"/>
      <c r="T93" s="105"/>
      <c r="U93" s="105"/>
    </row>
    <row r="94" spans="1:21" ht="15.75" customHeight="1" x14ac:dyDescent="0.2">
      <c r="A94" s="96"/>
      <c r="B94" s="96"/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6"/>
      <c r="O94" s="96"/>
      <c r="P94" s="96"/>
      <c r="Q94" s="96"/>
      <c r="R94" s="96"/>
      <c r="T94" s="105"/>
      <c r="U94" s="105"/>
    </row>
    <row r="95" spans="1:21" ht="15.75" customHeight="1" x14ac:dyDescent="0.2">
      <c r="A95" s="96"/>
      <c r="B95" s="96"/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6"/>
      <c r="O95" s="96"/>
      <c r="P95" s="96"/>
      <c r="Q95" s="96"/>
      <c r="R95" s="96"/>
      <c r="T95" s="105"/>
      <c r="U95" s="105"/>
    </row>
    <row r="96" spans="1:21" ht="15.75" customHeight="1" x14ac:dyDescent="0.2">
      <c r="A96" s="96"/>
      <c r="B96" s="96"/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6"/>
      <c r="O96" s="96"/>
      <c r="P96" s="96"/>
      <c r="Q96" s="96"/>
      <c r="R96" s="96"/>
      <c r="T96" s="105"/>
      <c r="U96" s="105"/>
    </row>
    <row r="97" spans="1:21" ht="15.75" customHeight="1" x14ac:dyDescent="0.2">
      <c r="A97" s="96"/>
      <c r="B97" s="96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6"/>
      <c r="O97" s="96"/>
      <c r="P97" s="96"/>
      <c r="Q97" s="96"/>
      <c r="R97" s="96"/>
      <c r="T97" s="105"/>
      <c r="U97" s="105"/>
    </row>
    <row r="98" spans="1:21" ht="15.75" customHeight="1" x14ac:dyDescent="0.2">
      <c r="A98" s="96"/>
      <c r="B98" s="96"/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6"/>
      <c r="O98" s="96"/>
      <c r="P98" s="96"/>
      <c r="Q98" s="96"/>
      <c r="R98" s="96"/>
      <c r="T98" s="105"/>
      <c r="U98" s="105"/>
    </row>
    <row r="99" spans="1:21" ht="15.75" customHeight="1" x14ac:dyDescent="0.2">
      <c r="A99" s="96"/>
      <c r="B99" s="96"/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6"/>
      <c r="O99" s="96"/>
      <c r="P99" s="96"/>
      <c r="Q99" s="96"/>
      <c r="R99" s="96"/>
      <c r="T99" s="105"/>
      <c r="U99" s="105"/>
    </row>
    <row r="100" spans="1:21" ht="15.75" customHeight="1" x14ac:dyDescent="0.2">
      <c r="A100" s="96"/>
      <c r="B100" s="96"/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6"/>
      <c r="O100" s="96"/>
      <c r="P100" s="96"/>
      <c r="Q100" s="96"/>
      <c r="R100" s="96"/>
      <c r="T100" s="105"/>
      <c r="U100" s="105"/>
    </row>
    <row r="101" spans="1:21" ht="15.75" customHeight="1" x14ac:dyDescent="0.2">
      <c r="A101" s="96"/>
      <c r="B101" s="96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6"/>
      <c r="O101" s="96"/>
      <c r="P101" s="96"/>
      <c r="Q101" s="96"/>
      <c r="R101" s="96"/>
      <c r="T101" s="105"/>
      <c r="U101" s="105"/>
    </row>
    <row r="102" spans="1:21" ht="15.75" customHeight="1" x14ac:dyDescent="0.2">
      <c r="A102" s="96"/>
      <c r="B102" s="96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6"/>
      <c r="O102" s="96"/>
      <c r="P102" s="96"/>
      <c r="Q102" s="96"/>
      <c r="R102" s="96"/>
      <c r="T102" s="105"/>
      <c r="U102" s="105"/>
    </row>
    <row r="103" spans="1:21" ht="15.75" customHeight="1" x14ac:dyDescent="0.2">
      <c r="A103" s="96"/>
      <c r="B103" s="96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6"/>
      <c r="O103" s="96"/>
      <c r="P103" s="96"/>
      <c r="Q103" s="96"/>
      <c r="R103" s="96"/>
      <c r="T103" s="105"/>
      <c r="U103" s="105"/>
    </row>
    <row r="104" spans="1:21" ht="15.75" customHeight="1" x14ac:dyDescent="0.2">
      <c r="A104" s="96"/>
      <c r="B104" s="96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6"/>
      <c r="O104" s="96"/>
      <c r="P104" s="96"/>
      <c r="Q104" s="96"/>
      <c r="R104" s="96"/>
      <c r="T104" s="105"/>
      <c r="U104" s="105"/>
    </row>
    <row r="105" spans="1:21" ht="15.75" customHeight="1" x14ac:dyDescent="0.2">
      <c r="A105" s="96"/>
      <c r="B105" s="96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6"/>
      <c r="O105" s="96"/>
      <c r="P105" s="96"/>
      <c r="Q105" s="96"/>
      <c r="R105" s="96"/>
      <c r="T105" s="105"/>
      <c r="U105" s="105"/>
    </row>
    <row r="106" spans="1:21" ht="15.75" customHeight="1" x14ac:dyDescent="0.2">
      <c r="A106" s="96"/>
      <c r="B106" s="96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6"/>
      <c r="O106" s="96"/>
      <c r="P106" s="96"/>
      <c r="Q106" s="96"/>
      <c r="R106" s="96"/>
      <c r="T106" s="105"/>
      <c r="U106" s="105"/>
    </row>
    <row r="107" spans="1:21" ht="15.75" customHeight="1" x14ac:dyDescent="0.2">
      <c r="A107" s="96"/>
      <c r="B107" s="96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6"/>
      <c r="O107" s="96"/>
      <c r="P107" s="96"/>
      <c r="Q107" s="96"/>
      <c r="R107" s="96"/>
      <c r="T107" s="105"/>
      <c r="U107" s="105"/>
    </row>
    <row r="108" spans="1:21" ht="15.75" customHeight="1" x14ac:dyDescent="0.2">
      <c r="A108" s="96"/>
      <c r="B108" s="96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6"/>
      <c r="O108" s="96"/>
      <c r="P108" s="96"/>
      <c r="Q108" s="96"/>
      <c r="R108" s="96"/>
      <c r="T108" s="105"/>
      <c r="U108" s="105"/>
    </row>
    <row r="109" spans="1:21" ht="15.75" customHeight="1" x14ac:dyDescent="0.2">
      <c r="A109" s="96"/>
      <c r="B109" s="96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6"/>
      <c r="O109" s="96"/>
      <c r="P109" s="96"/>
      <c r="Q109" s="96"/>
      <c r="R109" s="96"/>
      <c r="T109" s="105"/>
      <c r="U109" s="105"/>
    </row>
    <row r="110" spans="1:21" ht="15.75" customHeight="1" x14ac:dyDescent="0.2">
      <c r="A110" s="96"/>
      <c r="B110" s="96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6"/>
      <c r="O110" s="96"/>
      <c r="P110" s="96"/>
      <c r="Q110" s="96"/>
      <c r="R110" s="96"/>
      <c r="T110" s="105"/>
      <c r="U110" s="105"/>
    </row>
    <row r="111" spans="1:21" ht="15.75" customHeight="1" x14ac:dyDescent="0.2">
      <c r="A111" s="96"/>
      <c r="B111" s="96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6"/>
      <c r="O111" s="96"/>
      <c r="P111" s="96"/>
      <c r="Q111" s="96"/>
      <c r="R111" s="96"/>
      <c r="T111" s="105"/>
      <c r="U111" s="105"/>
    </row>
    <row r="112" spans="1:21" ht="15.75" customHeight="1" x14ac:dyDescent="0.2">
      <c r="A112" s="96"/>
      <c r="B112" s="96"/>
      <c r="C112" s="98"/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6"/>
      <c r="O112" s="96"/>
      <c r="P112" s="96"/>
      <c r="Q112" s="96"/>
      <c r="R112" s="96"/>
      <c r="T112" s="105"/>
      <c r="U112" s="105"/>
    </row>
    <row r="113" spans="1:21" ht="15.75" customHeight="1" x14ac:dyDescent="0.2">
      <c r="A113" s="96"/>
      <c r="B113" s="96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6"/>
      <c r="O113" s="96"/>
      <c r="P113" s="96"/>
      <c r="Q113" s="96"/>
      <c r="R113" s="96"/>
      <c r="T113" s="105"/>
      <c r="U113" s="105"/>
    </row>
    <row r="114" spans="1:21" ht="15.75" customHeight="1" x14ac:dyDescent="0.2">
      <c r="A114" s="96"/>
      <c r="B114" s="96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6"/>
      <c r="O114" s="96"/>
      <c r="P114" s="96"/>
      <c r="Q114" s="96"/>
      <c r="R114" s="96"/>
      <c r="T114" s="105"/>
      <c r="U114" s="105"/>
    </row>
    <row r="115" spans="1:21" ht="15.75" customHeight="1" x14ac:dyDescent="0.2">
      <c r="A115" s="96"/>
      <c r="B115" s="96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6"/>
      <c r="O115" s="96"/>
      <c r="P115" s="96"/>
      <c r="Q115" s="96"/>
      <c r="R115" s="96"/>
      <c r="T115" s="105"/>
      <c r="U115" s="105"/>
    </row>
    <row r="116" spans="1:21" ht="15.75" customHeight="1" x14ac:dyDescent="0.2">
      <c r="A116" s="96"/>
      <c r="B116" s="96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6"/>
      <c r="O116" s="96"/>
      <c r="P116" s="96"/>
      <c r="Q116" s="96"/>
      <c r="R116" s="96"/>
      <c r="T116" s="105"/>
      <c r="U116" s="105"/>
    </row>
    <row r="117" spans="1:21" ht="15.75" customHeight="1" x14ac:dyDescent="0.2">
      <c r="A117" s="96"/>
      <c r="B117" s="96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6"/>
      <c r="O117" s="96"/>
      <c r="P117" s="96"/>
      <c r="Q117" s="96"/>
      <c r="R117" s="96"/>
      <c r="T117" s="105"/>
      <c r="U117" s="105"/>
    </row>
    <row r="118" spans="1:21" ht="15.75" customHeight="1" x14ac:dyDescent="0.2">
      <c r="A118" s="96"/>
      <c r="B118" s="96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6"/>
      <c r="O118" s="96"/>
      <c r="P118" s="96"/>
      <c r="Q118" s="96"/>
      <c r="R118" s="96"/>
      <c r="T118" s="105"/>
      <c r="U118" s="105"/>
    </row>
  </sheetData>
  <mergeCells count="22">
    <mergeCell ref="D8:Q8"/>
    <mergeCell ref="A2:Q2"/>
    <mergeCell ref="A3:Q3"/>
    <mergeCell ref="D5:Q5"/>
    <mergeCell ref="D6:Q6"/>
    <mergeCell ref="D7:Q7"/>
    <mergeCell ref="D9:Q9"/>
    <mergeCell ref="D10:Q10"/>
    <mergeCell ref="A11:B11"/>
    <mergeCell ref="A12:A13"/>
    <mergeCell ref="B12:M13"/>
    <mergeCell ref="N12:O13"/>
    <mergeCell ref="P12:P13"/>
    <mergeCell ref="Q12:Q13"/>
    <mergeCell ref="N49:P49"/>
    <mergeCell ref="H50:Q50"/>
    <mergeCell ref="B14:G14"/>
    <mergeCell ref="N14:O14"/>
    <mergeCell ref="B15:M15"/>
    <mergeCell ref="H44:Q44"/>
    <mergeCell ref="H45:Q45"/>
    <mergeCell ref="H46:Q46"/>
  </mergeCells>
  <pageMargins left="0.52" right="0.27" top="0.74803149606299213" bottom="0.74803149606299213" header="0.31496062992125984" footer="0.31496062992125984"/>
  <pageSetup paperSize="41" scale="6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DC0F0-A589-4EBC-879A-1E47017D3DBC}">
  <sheetPr>
    <tabColor rgb="FF00B050"/>
  </sheetPr>
  <dimension ref="A1:R132"/>
  <sheetViews>
    <sheetView tabSelected="1" view="pageBreakPreview" topLeftCell="A13" zoomScale="60" zoomScaleNormal="90" workbookViewId="0">
      <selection activeCell="P29" sqref="P29"/>
    </sheetView>
  </sheetViews>
  <sheetFormatPr defaultColWidth="14.42578125" defaultRowHeight="15" customHeight="1" x14ac:dyDescent="0.25"/>
  <cols>
    <col min="1" max="1" width="11.5703125" style="102" customWidth="1"/>
    <col min="2" max="2" width="62" style="102" customWidth="1"/>
    <col min="3" max="3" width="12.28515625" style="102" customWidth="1"/>
    <col min="4" max="8" width="6.7109375" style="102" customWidth="1"/>
    <col min="9" max="9" width="9.5703125" style="102" customWidth="1"/>
    <col min="10" max="13" width="6.7109375" style="102" customWidth="1"/>
    <col min="14" max="14" width="9.28515625" style="102" customWidth="1"/>
    <col min="15" max="15" width="6.7109375" style="102" customWidth="1"/>
    <col min="16" max="16" width="15.85546875" style="102" customWidth="1"/>
    <col min="17" max="17" width="22.7109375" style="102" customWidth="1"/>
    <col min="18" max="18" width="18" style="102" customWidth="1"/>
    <col min="19" max="16384" width="14.42578125" style="102"/>
  </cols>
  <sheetData>
    <row r="1" spans="1:18" ht="19.899999999999999" customHeight="1" x14ac:dyDescent="0.25">
      <c r="A1" s="290" t="s">
        <v>0</v>
      </c>
      <c r="B1" s="291"/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  <c r="P1" s="291"/>
      <c r="Q1" s="291"/>
      <c r="R1" s="45"/>
    </row>
    <row r="2" spans="1:18" ht="19.899999999999999" customHeight="1" x14ac:dyDescent="0.25">
      <c r="A2" s="290" t="s">
        <v>39</v>
      </c>
      <c r="B2" s="291"/>
      <c r="C2" s="291"/>
      <c r="D2" s="291"/>
      <c r="E2" s="291"/>
      <c r="F2" s="291"/>
      <c r="G2" s="291"/>
      <c r="H2" s="291"/>
      <c r="I2" s="291"/>
      <c r="J2" s="291"/>
      <c r="K2" s="291"/>
      <c r="L2" s="291"/>
      <c r="M2" s="291"/>
      <c r="N2" s="291"/>
      <c r="O2" s="291"/>
      <c r="P2" s="291"/>
      <c r="Q2" s="291"/>
      <c r="R2" s="103"/>
    </row>
    <row r="3" spans="1:18" ht="19.899999999999999" customHeight="1" x14ac:dyDescent="0.25">
      <c r="A3" s="46"/>
      <c r="B3" s="43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3"/>
      <c r="O3" s="43"/>
      <c r="P3" s="43"/>
      <c r="Q3" s="43"/>
      <c r="R3" s="43"/>
    </row>
    <row r="4" spans="1:18" ht="19.899999999999999" customHeight="1" x14ac:dyDescent="0.25">
      <c r="A4" s="47"/>
      <c r="B4" s="48" t="s">
        <v>2</v>
      </c>
      <c r="C4" s="49" t="s">
        <v>3</v>
      </c>
      <c r="D4" s="251" t="s">
        <v>40</v>
      </c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  <c r="Q4" s="292"/>
      <c r="R4" s="101"/>
    </row>
    <row r="5" spans="1:18" ht="19.899999999999999" customHeight="1" x14ac:dyDescent="0.25">
      <c r="A5" s="47"/>
      <c r="B5" s="48" t="s">
        <v>4</v>
      </c>
      <c r="C5" s="49" t="s">
        <v>3</v>
      </c>
      <c r="D5" s="293" t="s">
        <v>41</v>
      </c>
      <c r="E5" s="294"/>
      <c r="F5" s="294"/>
      <c r="G5" s="294"/>
      <c r="H5" s="294"/>
      <c r="I5" s="294"/>
      <c r="J5" s="294"/>
      <c r="K5" s="294"/>
      <c r="L5" s="294"/>
      <c r="M5" s="294"/>
      <c r="N5" s="294"/>
      <c r="O5" s="294"/>
      <c r="P5" s="294"/>
      <c r="Q5" s="294"/>
      <c r="R5" s="101"/>
    </row>
    <row r="6" spans="1:18" ht="19.899999999999999" customHeight="1" x14ac:dyDescent="0.25">
      <c r="A6" s="47"/>
      <c r="B6" s="48" t="s">
        <v>5</v>
      </c>
      <c r="C6" s="49" t="s">
        <v>3</v>
      </c>
      <c r="D6" s="277" t="s">
        <v>6</v>
      </c>
      <c r="E6" s="289"/>
      <c r="F6" s="289"/>
      <c r="G6" s="289"/>
      <c r="H6" s="289"/>
      <c r="I6" s="289"/>
      <c r="J6" s="289"/>
      <c r="K6" s="289"/>
      <c r="L6" s="289"/>
      <c r="M6" s="289"/>
      <c r="N6" s="289"/>
      <c r="O6" s="289"/>
      <c r="P6" s="289"/>
      <c r="Q6" s="289"/>
      <c r="R6" s="101"/>
    </row>
    <row r="7" spans="1:18" ht="19.899999999999999" customHeight="1" x14ac:dyDescent="0.25">
      <c r="A7" s="47"/>
      <c r="B7" s="48" t="s">
        <v>7</v>
      </c>
      <c r="C7" s="49" t="s">
        <v>3</v>
      </c>
      <c r="D7" s="277">
        <v>2024</v>
      </c>
      <c r="E7" s="289"/>
      <c r="F7" s="289"/>
      <c r="G7" s="289"/>
      <c r="H7" s="289"/>
      <c r="I7" s="289"/>
      <c r="J7" s="289"/>
      <c r="K7" s="289"/>
      <c r="L7" s="289"/>
      <c r="M7" s="289"/>
      <c r="N7" s="289"/>
      <c r="O7" s="289"/>
      <c r="P7" s="289"/>
      <c r="Q7" s="289"/>
      <c r="R7" s="101"/>
    </row>
    <row r="8" spans="1:18" ht="19.899999999999999" customHeight="1" x14ac:dyDescent="0.25">
      <c r="A8" s="47"/>
      <c r="B8" s="48" t="s">
        <v>8</v>
      </c>
      <c r="C8" s="49" t="s">
        <v>3</v>
      </c>
      <c r="D8" s="277" t="s">
        <v>61</v>
      </c>
      <c r="E8" s="277"/>
      <c r="F8" s="277"/>
      <c r="G8" s="277"/>
      <c r="H8" s="277"/>
      <c r="I8" s="277"/>
      <c r="J8" s="277"/>
      <c r="K8" s="277"/>
      <c r="L8" s="277"/>
      <c r="M8" s="277"/>
      <c r="N8" s="277"/>
      <c r="O8" s="277"/>
      <c r="P8" s="277"/>
      <c r="Q8" s="277"/>
      <c r="R8" s="101"/>
    </row>
    <row r="9" spans="1:18" ht="19.899999999999999" customHeight="1" x14ac:dyDescent="0.25">
      <c r="A9" s="47"/>
      <c r="B9" s="48" t="s">
        <v>26</v>
      </c>
      <c r="C9" s="49" t="s">
        <v>3</v>
      </c>
      <c r="D9" s="253" t="s">
        <v>72</v>
      </c>
      <c r="E9" s="253"/>
      <c r="F9" s="253"/>
      <c r="G9" s="253"/>
      <c r="H9" s="253"/>
      <c r="I9" s="253"/>
      <c r="J9" s="253"/>
      <c r="K9" s="253"/>
      <c r="L9" s="253"/>
      <c r="M9" s="253"/>
      <c r="N9" s="253"/>
      <c r="O9" s="253"/>
      <c r="P9" s="253"/>
      <c r="Q9" s="253"/>
      <c r="R9" s="101"/>
    </row>
    <row r="10" spans="1:18" ht="18.75" customHeight="1" thickBot="1" x14ac:dyDescent="0.3">
      <c r="A10" s="278"/>
      <c r="B10" s="27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8"/>
      <c r="O10" s="48"/>
      <c r="P10" s="43"/>
      <c r="Q10" s="43"/>
      <c r="R10" s="43"/>
    </row>
    <row r="11" spans="1:18" ht="15.75" customHeight="1" x14ac:dyDescent="0.25">
      <c r="A11" s="280" t="s">
        <v>9</v>
      </c>
      <c r="B11" s="282" t="s">
        <v>10</v>
      </c>
      <c r="C11" s="283"/>
      <c r="D11" s="283"/>
      <c r="E11" s="283"/>
      <c r="F11" s="283"/>
      <c r="G11" s="283"/>
      <c r="H11" s="283"/>
      <c r="I11" s="283"/>
      <c r="J11" s="283"/>
      <c r="K11" s="283"/>
      <c r="L11" s="283"/>
      <c r="M11" s="284"/>
      <c r="N11" s="282" t="s">
        <v>11</v>
      </c>
      <c r="O11" s="284"/>
      <c r="P11" s="287" t="s">
        <v>12</v>
      </c>
      <c r="Q11" s="287" t="s">
        <v>13</v>
      </c>
      <c r="R11" s="49"/>
    </row>
    <row r="12" spans="1:18" ht="15.75" customHeight="1" thickBot="1" x14ac:dyDescent="0.3">
      <c r="A12" s="281"/>
      <c r="B12" s="285"/>
      <c r="C12" s="279"/>
      <c r="D12" s="279"/>
      <c r="E12" s="279"/>
      <c r="F12" s="279"/>
      <c r="G12" s="279"/>
      <c r="H12" s="279"/>
      <c r="I12" s="279"/>
      <c r="J12" s="279"/>
      <c r="K12" s="279"/>
      <c r="L12" s="279"/>
      <c r="M12" s="286"/>
      <c r="N12" s="285"/>
      <c r="O12" s="286"/>
      <c r="P12" s="288"/>
      <c r="Q12" s="288"/>
      <c r="R12" s="49"/>
    </row>
    <row r="13" spans="1:18" ht="15" customHeight="1" thickBot="1" x14ac:dyDescent="0.3">
      <c r="A13" s="50">
        <v>1</v>
      </c>
      <c r="B13" s="266">
        <v>2</v>
      </c>
      <c r="C13" s="267"/>
      <c r="D13" s="267"/>
      <c r="E13" s="267"/>
      <c r="F13" s="267"/>
      <c r="G13" s="267"/>
      <c r="H13" s="51"/>
      <c r="I13" s="51"/>
      <c r="J13" s="51"/>
      <c r="K13" s="51"/>
      <c r="L13" s="51"/>
      <c r="M13" s="51"/>
      <c r="N13" s="266">
        <v>3</v>
      </c>
      <c r="O13" s="268"/>
      <c r="P13" s="52">
        <v>4</v>
      </c>
      <c r="Q13" s="53">
        <v>5</v>
      </c>
      <c r="R13" s="54"/>
    </row>
    <row r="14" spans="1:18" s="243" customFormat="1" ht="23.45" customHeight="1" x14ac:dyDescent="0.25">
      <c r="A14" s="237"/>
      <c r="B14" s="273" t="s">
        <v>100</v>
      </c>
      <c r="C14" s="274"/>
      <c r="D14" s="274"/>
      <c r="E14" s="274"/>
      <c r="F14" s="274"/>
      <c r="G14" s="274"/>
      <c r="H14" s="274"/>
      <c r="I14" s="274"/>
      <c r="J14" s="274"/>
      <c r="K14" s="274"/>
      <c r="L14" s="274"/>
      <c r="M14" s="274"/>
      <c r="N14" s="238"/>
      <c r="O14" s="239"/>
      <c r="P14" s="240"/>
      <c r="Q14" s="241">
        <f>Q16+Q42</f>
        <v>64637100000</v>
      </c>
      <c r="R14" s="242"/>
    </row>
    <row r="15" spans="1:18" s="166" customFormat="1" ht="19.899999999999999" customHeight="1" x14ac:dyDescent="0.25">
      <c r="A15" s="195"/>
      <c r="B15" s="275"/>
      <c r="C15" s="276"/>
      <c r="D15" s="276"/>
      <c r="E15" s="276"/>
      <c r="F15" s="276"/>
      <c r="G15" s="276"/>
      <c r="H15" s="276"/>
      <c r="I15" s="276"/>
      <c r="J15" s="276"/>
      <c r="K15" s="276"/>
      <c r="L15" s="276"/>
      <c r="M15" s="276"/>
      <c r="N15" s="190"/>
      <c r="O15" s="191"/>
      <c r="P15" s="192"/>
      <c r="Q15" s="193"/>
      <c r="R15" s="54"/>
    </row>
    <row r="16" spans="1:18" ht="19.899999999999999" customHeight="1" x14ac:dyDescent="0.25">
      <c r="A16" s="196" t="s">
        <v>77</v>
      </c>
      <c r="B16" s="269" t="s">
        <v>99</v>
      </c>
      <c r="C16" s="270"/>
      <c r="D16" s="270"/>
      <c r="E16" s="270"/>
      <c r="F16" s="270"/>
      <c r="G16" s="270"/>
      <c r="H16" s="270"/>
      <c r="I16" s="270"/>
      <c r="J16" s="270"/>
      <c r="K16" s="270"/>
      <c r="L16" s="270"/>
      <c r="M16" s="270"/>
      <c r="N16" s="186"/>
      <c r="O16" s="187"/>
      <c r="P16" s="188"/>
      <c r="Q16" s="189">
        <f>Q18+Q27+Q35</f>
        <v>5632900000</v>
      </c>
      <c r="R16" s="55"/>
    </row>
    <row r="17" spans="1:18" ht="19.899999999999999" customHeight="1" x14ac:dyDescent="0.25">
      <c r="A17" s="197"/>
      <c r="B17" s="99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56"/>
      <c r="O17" s="57"/>
      <c r="P17" s="58"/>
      <c r="Q17" s="59"/>
      <c r="R17" s="55"/>
    </row>
    <row r="18" spans="1:18" ht="19.899999999999999" customHeight="1" x14ac:dyDescent="0.25">
      <c r="A18" s="198" t="s">
        <v>14</v>
      </c>
      <c r="B18" s="60" t="s">
        <v>38</v>
      </c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2"/>
      <c r="O18" s="63"/>
      <c r="P18" s="64"/>
      <c r="Q18" s="65">
        <f>Q19</f>
        <v>2601900000</v>
      </c>
      <c r="R18" s="55" t="e">
        <f>Q21+Q22+Q23+Q24+Q25+Q29+Q30+Q33+#REF!+Q40</f>
        <v>#REF!</v>
      </c>
    </row>
    <row r="19" spans="1:18" ht="19.899999999999999" customHeight="1" x14ac:dyDescent="0.25">
      <c r="A19" s="199" t="s">
        <v>30</v>
      </c>
      <c r="B19" s="128" t="s">
        <v>31</v>
      </c>
      <c r="C19" s="128"/>
      <c r="D19" s="129"/>
      <c r="E19" s="130"/>
      <c r="F19" s="61"/>
      <c r="G19" s="61"/>
      <c r="H19" s="61"/>
      <c r="I19" s="61"/>
      <c r="J19" s="61"/>
      <c r="K19" s="61"/>
      <c r="L19" s="61"/>
      <c r="M19" s="61"/>
      <c r="N19" s="62"/>
      <c r="O19" s="63"/>
      <c r="P19" s="64"/>
      <c r="Q19" s="66">
        <f>SUM(Q21:Q25)</f>
        <v>2601900000</v>
      </c>
      <c r="R19" s="55"/>
    </row>
    <row r="20" spans="1:18" ht="19.899999999999999" customHeight="1" x14ac:dyDescent="0.25">
      <c r="A20" s="200"/>
      <c r="B20" s="129" t="s">
        <v>74</v>
      </c>
      <c r="C20" s="129"/>
      <c r="D20" s="130"/>
      <c r="E20" s="61"/>
      <c r="F20" s="61"/>
      <c r="G20" s="61"/>
      <c r="H20" s="61"/>
      <c r="I20" s="61"/>
      <c r="J20" s="61"/>
      <c r="K20" s="61"/>
      <c r="L20" s="61"/>
      <c r="M20" s="61"/>
      <c r="N20" s="62"/>
      <c r="O20" s="63"/>
      <c r="P20" s="64"/>
      <c r="Q20" s="59"/>
      <c r="R20" s="55"/>
    </row>
    <row r="21" spans="1:18" ht="19.899999999999999" customHeight="1" x14ac:dyDescent="0.25">
      <c r="A21" s="200"/>
      <c r="B21" s="129" t="s">
        <v>32</v>
      </c>
      <c r="C21" s="131">
        <v>1</v>
      </c>
      <c r="D21" s="129" t="s">
        <v>18</v>
      </c>
      <c r="E21" s="132" t="s">
        <v>17</v>
      </c>
      <c r="F21" s="129">
        <v>2</v>
      </c>
      <c r="G21" s="129" t="s">
        <v>24</v>
      </c>
      <c r="H21" s="132" t="s">
        <v>17</v>
      </c>
      <c r="I21" s="133">
        <v>177</v>
      </c>
      <c r="J21" s="75" t="s">
        <v>25</v>
      </c>
      <c r="K21" s="61"/>
      <c r="L21" s="61"/>
      <c r="M21" s="61"/>
      <c r="N21" s="67">
        <f>C21*F21*I21</f>
        <v>354</v>
      </c>
      <c r="O21" s="68" t="s">
        <v>36</v>
      </c>
      <c r="P21" s="64">
        <v>1500000</v>
      </c>
      <c r="Q21" s="64">
        <f>N21*P21</f>
        <v>531000000</v>
      </c>
      <c r="R21" s="55"/>
    </row>
    <row r="22" spans="1:18" ht="19.899999999999999" customHeight="1" x14ac:dyDescent="0.25">
      <c r="A22" s="200"/>
      <c r="B22" s="129" t="s">
        <v>37</v>
      </c>
      <c r="C22" s="131">
        <v>2</v>
      </c>
      <c r="D22" s="129" t="s">
        <v>18</v>
      </c>
      <c r="E22" s="132" t="s">
        <v>17</v>
      </c>
      <c r="F22" s="129">
        <f>F21</f>
        <v>2</v>
      </c>
      <c r="G22" s="129" t="s">
        <v>24</v>
      </c>
      <c r="H22" s="132" t="s">
        <v>17</v>
      </c>
      <c r="I22" s="133">
        <f>I21</f>
        <v>177</v>
      </c>
      <c r="J22" s="75" t="s">
        <v>25</v>
      </c>
      <c r="K22" s="61"/>
      <c r="L22" s="61"/>
      <c r="M22" s="61"/>
      <c r="N22" s="67">
        <f t="shared" ref="N22:N25" si="0">C22*F22*I22</f>
        <v>708</v>
      </c>
      <c r="O22" s="68" t="s">
        <v>36</v>
      </c>
      <c r="P22" s="64">
        <v>1300000</v>
      </c>
      <c r="Q22" s="64">
        <f t="shared" ref="Q22:Q25" si="1">N22*P22</f>
        <v>920400000</v>
      </c>
      <c r="R22" s="55"/>
    </row>
    <row r="23" spans="1:18" ht="19.899999999999999" customHeight="1" x14ac:dyDescent="0.25">
      <c r="A23" s="200"/>
      <c r="B23" s="129" t="s">
        <v>33</v>
      </c>
      <c r="C23" s="131">
        <v>1</v>
      </c>
      <c r="D23" s="129" t="s">
        <v>18</v>
      </c>
      <c r="E23" s="132" t="s">
        <v>17</v>
      </c>
      <c r="F23" s="129">
        <f>F21</f>
        <v>2</v>
      </c>
      <c r="G23" s="129" t="s">
        <v>24</v>
      </c>
      <c r="H23" s="132" t="s">
        <v>17</v>
      </c>
      <c r="I23" s="133">
        <f>I22</f>
        <v>177</v>
      </c>
      <c r="J23" s="75" t="s">
        <v>25</v>
      </c>
      <c r="K23" s="61"/>
      <c r="L23" s="61"/>
      <c r="M23" s="61"/>
      <c r="N23" s="67">
        <f t="shared" si="0"/>
        <v>354</v>
      </c>
      <c r="O23" s="68" t="s">
        <v>36</v>
      </c>
      <c r="P23" s="64">
        <v>1150000</v>
      </c>
      <c r="Q23" s="64">
        <f t="shared" si="1"/>
        <v>407100000</v>
      </c>
      <c r="R23" s="55"/>
    </row>
    <row r="24" spans="1:18" ht="19.899999999999999" customHeight="1" x14ac:dyDescent="0.25">
      <c r="A24" s="200"/>
      <c r="B24" s="129" t="s">
        <v>34</v>
      </c>
      <c r="C24" s="131">
        <v>1</v>
      </c>
      <c r="D24" s="129" t="s">
        <v>18</v>
      </c>
      <c r="E24" s="132" t="s">
        <v>17</v>
      </c>
      <c r="F24" s="129">
        <f>F23</f>
        <v>2</v>
      </c>
      <c r="G24" s="129" t="s">
        <v>24</v>
      </c>
      <c r="H24" s="132" t="s">
        <v>17</v>
      </c>
      <c r="I24" s="133">
        <f>I23</f>
        <v>177</v>
      </c>
      <c r="J24" s="75" t="s">
        <v>25</v>
      </c>
      <c r="K24" s="61"/>
      <c r="L24" s="61"/>
      <c r="M24" s="61"/>
      <c r="N24" s="67">
        <f t="shared" si="0"/>
        <v>354</v>
      </c>
      <c r="O24" s="68" t="s">
        <v>36</v>
      </c>
      <c r="P24" s="64">
        <v>1050000</v>
      </c>
      <c r="Q24" s="64">
        <f t="shared" si="1"/>
        <v>371700000</v>
      </c>
      <c r="R24" s="55"/>
    </row>
    <row r="25" spans="1:18" ht="19.899999999999999" customHeight="1" x14ac:dyDescent="0.25">
      <c r="A25" s="200"/>
      <c r="B25" s="194" t="s">
        <v>35</v>
      </c>
      <c r="C25" s="131">
        <v>1</v>
      </c>
      <c r="D25" s="129" t="s">
        <v>18</v>
      </c>
      <c r="E25" s="132" t="s">
        <v>17</v>
      </c>
      <c r="F25" s="129">
        <f>F24</f>
        <v>2</v>
      </c>
      <c r="G25" s="129" t="s">
        <v>24</v>
      </c>
      <c r="H25" s="132" t="s">
        <v>17</v>
      </c>
      <c r="I25" s="133">
        <f>I24</f>
        <v>177</v>
      </c>
      <c r="J25" s="75" t="s">
        <v>25</v>
      </c>
      <c r="K25" s="61"/>
      <c r="L25" s="61"/>
      <c r="M25" s="61"/>
      <c r="N25" s="67">
        <f t="shared" si="0"/>
        <v>354</v>
      </c>
      <c r="O25" s="68" t="s">
        <v>36</v>
      </c>
      <c r="P25" s="64">
        <v>1050000</v>
      </c>
      <c r="Q25" s="64">
        <f t="shared" si="1"/>
        <v>371700000</v>
      </c>
      <c r="R25" s="55"/>
    </row>
    <row r="26" spans="1:18" ht="19.899999999999999" customHeight="1" x14ac:dyDescent="0.25">
      <c r="A26" s="197"/>
      <c r="B26" s="9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56"/>
      <c r="O26" s="57"/>
      <c r="P26" s="58"/>
      <c r="Q26" s="70"/>
      <c r="R26" s="55"/>
    </row>
    <row r="27" spans="1:18" ht="19.899999999999999" customHeight="1" x14ac:dyDescent="0.25">
      <c r="A27" s="197" t="s">
        <v>28</v>
      </c>
      <c r="B27" s="271" t="s">
        <v>20</v>
      </c>
      <c r="C27" s="272"/>
      <c r="D27" s="272"/>
      <c r="E27" s="272"/>
      <c r="F27" s="272"/>
      <c r="G27" s="272"/>
      <c r="H27" s="272"/>
      <c r="I27" s="272"/>
      <c r="J27" s="272"/>
      <c r="K27" s="272"/>
      <c r="L27" s="272"/>
      <c r="M27" s="272"/>
      <c r="N27" s="62"/>
      <c r="O27" s="63"/>
      <c r="P27" s="64"/>
      <c r="Q27" s="59">
        <f>Q28+Q31</f>
        <v>2450250000</v>
      </c>
      <c r="R27" s="55">
        <f>177*2000000</f>
        <v>354000000</v>
      </c>
    </row>
    <row r="28" spans="1:18" ht="19.899999999999999" customHeight="1" x14ac:dyDescent="0.25">
      <c r="A28" s="201">
        <v>521211</v>
      </c>
      <c r="B28" s="71" t="s">
        <v>15</v>
      </c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3"/>
      <c r="N28" s="62"/>
      <c r="O28" s="63"/>
      <c r="P28" s="64"/>
      <c r="Q28" s="66">
        <f>SUM(Q29:Q30)</f>
        <v>424800000</v>
      </c>
      <c r="R28" s="55"/>
    </row>
    <row r="29" spans="1:18" ht="19.899999999999999" customHeight="1" x14ac:dyDescent="0.25">
      <c r="A29" s="202"/>
      <c r="B29" s="80" t="s">
        <v>76</v>
      </c>
      <c r="C29" s="151">
        <v>1</v>
      </c>
      <c r="D29" s="75" t="s">
        <v>16</v>
      </c>
      <c r="E29" s="75" t="s">
        <v>17</v>
      </c>
      <c r="F29" s="75">
        <v>2</v>
      </c>
      <c r="G29" s="75" t="s">
        <v>24</v>
      </c>
      <c r="H29" s="75" t="s">
        <v>17</v>
      </c>
      <c r="I29" s="75">
        <v>177</v>
      </c>
      <c r="J29" s="75" t="s">
        <v>25</v>
      </c>
      <c r="K29" s="75"/>
      <c r="L29" s="75"/>
      <c r="M29" s="81"/>
      <c r="N29" s="76">
        <f>C29*F29*I29</f>
        <v>354</v>
      </c>
      <c r="O29" s="77" t="s">
        <v>16</v>
      </c>
      <c r="P29" s="78">
        <v>1200000</v>
      </c>
      <c r="Q29" s="82">
        <f>N29*P29</f>
        <v>424800000</v>
      </c>
      <c r="R29" s="79">
        <f>177</f>
        <v>177</v>
      </c>
    </row>
    <row r="30" spans="1:18" ht="19.899999999999999" customHeight="1" x14ac:dyDescent="0.25">
      <c r="A30" s="202"/>
      <c r="B30" s="80"/>
      <c r="C30" s="151"/>
      <c r="D30" s="75"/>
      <c r="E30" s="75"/>
      <c r="F30" s="75"/>
      <c r="G30" s="75"/>
      <c r="H30" s="75"/>
      <c r="I30" s="75"/>
      <c r="J30" s="75"/>
      <c r="K30" s="75"/>
      <c r="L30" s="75"/>
      <c r="M30" s="81"/>
      <c r="N30" s="76"/>
      <c r="O30" s="77"/>
      <c r="P30" s="78"/>
      <c r="Q30" s="82"/>
      <c r="R30" s="79" t="e">
        <f>#REF!/177</f>
        <v>#REF!</v>
      </c>
    </row>
    <row r="31" spans="1:18" ht="19.899999999999999" customHeight="1" x14ac:dyDescent="0.25">
      <c r="A31" s="198">
        <v>521219</v>
      </c>
      <c r="B31" s="83" t="s">
        <v>27</v>
      </c>
      <c r="C31" s="152"/>
      <c r="D31" s="84"/>
      <c r="E31" s="73"/>
      <c r="F31" s="73"/>
      <c r="G31" s="73"/>
      <c r="H31" s="73"/>
      <c r="I31" s="73"/>
      <c r="J31" s="73"/>
      <c r="K31" s="73"/>
      <c r="L31" s="73"/>
      <c r="M31" s="73"/>
      <c r="N31" s="67"/>
      <c r="O31" s="68"/>
      <c r="P31" s="85"/>
      <c r="Q31" s="86">
        <f>SUM(Q33:Q40)</f>
        <v>2025450000</v>
      </c>
      <c r="R31" s="79"/>
    </row>
    <row r="32" spans="1:18" ht="19.899999999999999" customHeight="1" x14ac:dyDescent="0.25">
      <c r="A32" s="202"/>
      <c r="B32" s="74" t="s">
        <v>19</v>
      </c>
      <c r="C32" s="152"/>
      <c r="D32" s="84"/>
      <c r="E32" s="73"/>
      <c r="F32" s="73"/>
      <c r="G32" s="73"/>
      <c r="H32" s="73"/>
      <c r="I32" s="73"/>
      <c r="J32" s="73"/>
      <c r="K32" s="73"/>
      <c r="L32" s="73"/>
      <c r="M32" s="73"/>
      <c r="N32" s="67"/>
      <c r="O32" s="68"/>
      <c r="P32" s="85"/>
      <c r="Q32" s="86"/>
      <c r="R32" s="79"/>
    </row>
    <row r="33" spans="1:18" s="43" customFormat="1" ht="19.899999999999999" customHeight="1" x14ac:dyDescent="0.25">
      <c r="A33" s="198"/>
      <c r="B33" s="127" t="s">
        <v>52</v>
      </c>
      <c r="C33" s="151">
        <v>1</v>
      </c>
      <c r="D33" s="75" t="s">
        <v>16</v>
      </c>
      <c r="E33" s="75" t="s">
        <v>17</v>
      </c>
      <c r="F33" s="75">
        <v>2</v>
      </c>
      <c r="G33" s="75" t="s">
        <v>24</v>
      </c>
      <c r="H33" s="75" t="s">
        <v>17</v>
      </c>
      <c r="I33" s="75">
        <v>177</v>
      </c>
      <c r="J33" s="75" t="s">
        <v>25</v>
      </c>
      <c r="K33" s="73"/>
      <c r="L33" s="73"/>
      <c r="M33" s="73"/>
      <c r="N33" s="67">
        <f>C33*F33*I33</f>
        <v>354</v>
      </c>
      <c r="O33" s="68" t="s">
        <v>23</v>
      </c>
      <c r="P33" s="85">
        <v>800000</v>
      </c>
      <c r="Q33" s="87">
        <f t="shared" ref="Q33" si="2">N33*P33</f>
        <v>283200000</v>
      </c>
      <c r="R33" s="79"/>
    </row>
    <row r="34" spans="1:18" s="43" customFormat="1" ht="19.899999999999999" customHeight="1" x14ac:dyDescent="0.25">
      <c r="A34" s="198"/>
      <c r="B34" s="127"/>
      <c r="C34" s="151"/>
      <c r="D34" s="75"/>
      <c r="E34" s="75"/>
      <c r="F34" s="75"/>
      <c r="G34" s="75"/>
      <c r="H34" s="75"/>
      <c r="I34" s="75"/>
      <c r="J34" s="75"/>
      <c r="K34" s="73"/>
      <c r="L34" s="73"/>
      <c r="M34" s="73"/>
      <c r="N34" s="67"/>
      <c r="O34" s="68"/>
      <c r="P34" s="85"/>
      <c r="Q34" s="87"/>
      <c r="R34" s="79"/>
    </row>
    <row r="35" spans="1:18" s="43" customFormat="1" ht="19.899999999999999" customHeight="1" x14ac:dyDescent="0.25">
      <c r="A35" s="198" t="s">
        <v>89</v>
      </c>
      <c r="B35" s="210" t="s">
        <v>96</v>
      </c>
      <c r="C35" s="151"/>
      <c r="D35" s="75"/>
      <c r="E35" s="75"/>
      <c r="F35" s="75"/>
      <c r="G35" s="75"/>
      <c r="H35" s="75"/>
      <c r="I35" s="75"/>
      <c r="J35" s="75"/>
      <c r="K35" s="73"/>
      <c r="L35" s="73"/>
      <c r="M35" s="73"/>
      <c r="N35" s="67"/>
      <c r="O35" s="68"/>
      <c r="P35" s="85"/>
      <c r="Q35" s="220">
        <f>Q36</f>
        <v>580750000</v>
      </c>
      <c r="R35" s="79"/>
    </row>
    <row r="36" spans="1:18" s="43" customFormat="1" ht="19.899999999999999" customHeight="1" x14ac:dyDescent="0.25">
      <c r="A36" s="198">
        <v>521219</v>
      </c>
      <c r="B36" s="83" t="s">
        <v>27</v>
      </c>
      <c r="C36" s="151"/>
      <c r="D36" s="75"/>
      <c r="E36" s="75"/>
      <c r="F36" s="75"/>
      <c r="G36" s="75"/>
      <c r="H36" s="75"/>
      <c r="I36" s="75"/>
      <c r="J36" s="75"/>
      <c r="K36" s="73"/>
      <c r="L36" s="73"/>
      <c r="M36" s="73"/>
      <c r="N36" s="67"/>
      <c r="O36" s="68"/>
      <c r="P36" s="85"/>
      <c r="Q36" s="87">
        <f>SUM(Q37:Q40)</f>
        <v>580750000</v>
      </c>
      <c r="R36" s="79"/>
    </row>
    <row r="37" spans="1:18" s="43" customFormat="1" ht="19.899999999999999" customHeight="1" x14ac:dyDescent="0.25">
      <c r="A37" s="198"/>
      <c r="B37" s="210" t="s">
        <v>92</v>
      </c>
      <c r="C37" s="151"/>
      <c r="D37" s="75"/>
      <c r="E37" s="75"/>
      <c r="F37" s="75"/>
      <c r="G37" s="75"/>
      <c r="H37" s="75"/>
      <c r="I37" s="75"/>
      <c r="J37" s="75"/>
      <c r="K37" s="73"/>
      <c r="L37" s="73"/>
      <c r="M37" s="73"/>
      <c r="N37" s="67"/>
      <c r="O37" s="68"/>
      <c r="P37" s="85"/>
      <c r="Q37" s="87"/>
      <c r="R37" s="79"/>
    </row>
    <row r="38" spans="1:18" s="43" customFormat="1" ht="19.899999999999999" customHeight="1" x14ac:dyDescent="0.2">
      <c r="A38" s="198"/>
      <c r="B38" s="127" t="s">
        <v>91</v>
      </c>
      <c r="C38" s="211">
        <v>5</v>
      </c>
      <c r="D38" s="212" t="s">
        <v>94</v>
      </c>
      <c r="E38" s="211" t="s">
        <v>17</v>
      </c>
      <c r="F38" s="212">
        <v>1</v>
      </c>
      <c r="G38" s="212" t="s">
        <v>95</v>
      </c>
      <c r="H38" s="211" t="s">
        <v>17</v>
      </c>
      <c r="I38" s="213">
        <v>4646</v>
      </c>
      <c r="J38" s="170" t="s">
        <v>83</v>
      </c>
      <c r="K38" s="214"/>
      <c r="L38" s="214"/>
      <c r="M38" s="214"/>
      <c r="N38" s="215">
        <f>C38*F38*I38</f>
        <v>23230</v>
      </c>
      <c r="O38" s="171" t="s">
        <v>36</v>
      </c>
      <c r="P38" s="216">
        <v>12500</v>
      </c>
      <c r="Q38" s="216">
        <f>N38*P38</f>
        <v>290375000</v>
      </c>
      <c r="R38" s="79"/>
    </row>
    <row r="39" spans="1:18" s="43" customFormat="1" ht="19.899999999999999" customHeight="1" x14ac:dyDescent="0.25">
      <c r="A39" s="198"/>
      <c r="B39" s="210" t="s">
        <v>93</v>
      </c>
      <c r="C39" s="151"/>
      <c r="D39" s="75"/>
      <c r="E39" s="75"/>
      <c r="F39" s="75"/>
      <c r="G39" s="75"/>
      <c r="H39" s="75"/>
      <c r="I39" s="75"/>
      <c r="J39" s="75"/>
      <c r="K39" s="73"/>
      <c r="L39" s="73"/>
      <c r="M39" s="73"/>
      <c r="N39" s="67"/>
      <c r="O39" s="68"/>
      <c r="P39" s="85"/>
      <c r="Q39" s="87"/>
      <c r="R39" s="79"/>
    </row>
    <row r="40" spans="1:18" s="43" customFormat="1" ht="19.899999999999999" customHeight="1" x14ac:dyDescent="0.2">
      <c r="A40" s="198"/>
      <c r="B40" s="127" t="s">
        <v>101</v>
      </c>
      <c r="C40" s="211">
        <v>5</v>
      </c>
      <c r="D40" s="212" t="s">
        <v>94</v>
      </c>
      <c r="E40" s="211" t="s">
        <v>17</v>
      </c>
      <c r="F40" s="212">
        <v>1</v>
      </c>
      <c r="G40" s="212" t="s">
        <v>95</v>
      </c>
      <c r="H40" s="211" t="s">
        <v>17</v>
      </c>
      <c r="I40" s="213">
        <v>4646</v>
      </c>
      <c r="J40" s="170" t="s">
        <v>83</v>
      </c>
      <c r="K40" s="214"/>
      <c r="L40" s="214"/>
      <c r="M40" s="214"/>
      <c r="N40" s="215">
        <f>C40*F40*I40</f>
        <v>23230</v>
      </c>
      <c r="O40" s="171" t="s">
        <v>36</v>
      </c>
      <c r="P40" s="216">
        <v>12500</v>
      </c>
      <c r="Q40" s="216">
        <f>N40*P40</f>
        <v>290375000</v>
      </c>
      <c r="R40" s="79"/>
    </row>
    <row r="41" spans="1:18" s="43" customFormat="1" ht="19.899999999999999" customHeight="1" x14ac:dyDescent="0.2">
      <c r="A41" s="203"/>
      <c r="B41" s="178"/>
      <c r="C41" s="179"/>
      <c r="D41" s="180"/>
      <c r="E41" s="180"/>
      <c r="F41" s="180"/>
      <c r="G41" s="180"/>
      <c r="H41" s="180"/>
      <c r="I41" s="180"/>
      <c r="J41" s="180"/>
      <c r="K41" s="180"/>
      <c r="L41" s="180"/>
      <c r="M41" s="180"/>
      <c r="N41" s="181"/>
      <c r="O41" s="182"/>
      <c r="P41" s="183"/>
      <c r="Q41" s="184"/>
      <c r="R41" s="79"/>
    </row>
    <row r="42" spans="1:18" s="43" customFormat="1" ht="19.899999999999999" customHeight="1" x14ac:dyDescent="0.2">
      <c r="A42" s="196" t="s">
        <v>78</v>
      </c>
      <c r="B42" s="269" t="s">
        <v>81</v>
      </c>
      <c r="C42" s="270"/>
      <c r="D42" s="270"/>
      <c r="E42" s="270"/>
      <c r="F42" s="270"/>
      <c r="G42" s="270"/>
      <c r="H42" s="270"/>
      <c r="I42" s="270"/>
      <c r="J42" s="270"/>
      <c r="K42" s="270"/>
      <c r="L42" s="270"/>
      <c r="M42" s="270"/>
      <c r="N42" s="186"/>
      <c r="O42" s="187"/>
      <c r="P42" s="188"/>
      <c r="Q42" s="189">
        <f>Q44+Q51</f>
        <v>59004200000</v>
      </c>
      <c r="R42" s="79"/>
    </row>
    <row r="43" spans="1:18" s="43" customFormat="1" ht="19.899999999999999" customHeight="1" x14ac:dyDescent="0.2">
      <c r="A43" s="197"/>
      <c r="B43" s="164"/>
      <c r="C43" s="165"/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56"/>
      <c r="O43" s="57"/>
      <c r="P43" s="58"/>
      <c r="Q43" s="59"/>
      <c r="R43" s="79"/>
    </row>
    <row r="44" spans="1:18" s="43" customFormat="1" ht="19.899999999999999" customHeight="1" x14ac:dyDescent="0.2">
      <c r="A44" s="198" t="s">
        <v>14</v>
      </c>
      <c r="B44" s="60" t="s">
        <v>79</v>
      </c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2"/>
      <c r="O44" s="63"/>
      <c r="P44" s="64"/>
      <c r="Q44" s="65">
        <f>Q45</f>
        <v>42743200000</v>
      </c>
      <c r="R44" s="79"/>
    </row>
    <row r="45" spans="1:18" s="43" customFormat="1" ht="19.899999999999999" customHeight="1" x14ac:dyDescent="0.2">
      <c r="A45" s="199" t="s">
        <v>30</v>
      </c>
      <c r="B45" s="128" t="s">
        <v>31</v>
      </c>
      <c r="C45" s="128"/>
      <c r="D45" s="129"/>
      <c r="E45" s="130"/>
      <c r="F45" s="61"/>
      <c r="G45" s="61"/>
      <c r="H45" s="61"/>
      <c r="I45" s="61"/>
      <c r="J45" s="61"/>
      <c r="K45" s="61"/>
      <c r="L45" s="61"/>
      <c r="M45" s="61"/>
      <c r="N45" s="62"/>
      <c r="O45" s="63"/>
      <c r="P45" s="64"/>
      <c r="Q45" s="66">
        <f>SUM(Q47:Q49)</f>
        <v>42743200000</v>
      </c>
      <c r="R45" s="79"/>
    </row>
    <row r="46" spans="1:18" s="43" customFormat="1" ht="19.899999999999999" customHeight="1" x14ac:dyDescent="0.2">
      <c r="A46" s="200"/>
      <c r="B46" s="129" t="s">
        <v>80</v>
      </c>
      <c r="C46" s="129"/>
      <c r="D46" s="130"/>
      <c r="E46" s="61"/>
      <c r="F46" s="61"/>
      <c r="G46" s="61"/>
      <c r="H46" s="61"/>
      <c r="I46" s="61"/>
      <c r="J46" s="61"/>
      <c r="K46" s="61"/>
      <c r="L46" s="61"/>
      <c r="M46" s="61"/>
      <c r="N46" s="62"/>
      <c r="O46" s="63"/>
      <c r="P46" s="64"/>
      <c r="Q46" s="59"/>
      <c r="R46" s="79"/>
    </row>
    <row r="47" spans="1:18" s="43" customFormat="1" ht="19.899999999999999" customHeight="1" x14ac:dyDescent="0.2">
      <c r="A47" s="200"/>
      <c r="B47" s="129" t="s">
        <v>32</v>
      </c>
      <c r="C47" s="131">
        <v>1</v>
      </c>
      <c r="D47" s="129" t="s">
        <v>18</v>
      </c>
      <c r="E47" s="132" t="s">
        <v>17</v>
      </c>
      <c r="F47" s="129">
        <v>1</v>
      </c>
      <c r="G47" s="129" t="s">
        <v>24</v>
      </c>
      <c r="H47" s="132" t="s">
        <v>17</v>
      </c>
      <c r="I47" s="174">
        <v>4646</v>
      </c>
      <c r="J47" s="175" t="s">
        <v>83</v>
      </c>
      <c r="K47" s="61"/>
      <c r="L47" s="61"/>
      <c r="M47" s="61"/>
      <c r="N47" s="176">
        <f>C47*F47*I47</f>
        <v>4646</v>
      </c>
      <c r="O47" s="68" t="s">
        <v>36</v>
      </c>
      <c r="P47" s="177">
        <v>1200000</v>
      </c>
      <c r="Q47" s="64">
        <f>N47*P47</f>
        <v>5575200000</v>
      </c>
      <c r="R47" s="79"/>
    </row>
    <row r="48" spans="1:18" s="43" customFormat="1" ht="19.899999999999999" customHeight="1" x14ac:dyDescent="0.2">
      <c r="A48" s="200"/>
      <c r="B48" s="129" t="s">
        <v>37</v>
      </c>
      <c r="C48" s="131">
        <v>6</v>
      </c>
      <c r="D48" s="129" t="s">
        <v>18</v>
      </c>
      <c r="E48" s="132" t="s">
        <v>17</v>
      </c>
      <c r="F48" s="129">
        <f>F47</f>
        <v>1</v>
      </c>
      <c r="G48" s="129" t="s">
        <v>24</v>
      </c>
      <c r="H48" s="132" t="s">
        <v>17</v>
      </c>
      <c r="I48" s="174">
        <v>4646</v>
      </c>
      <c r="J48" s="175" t="s">
        <v>83</v>
      </c>
      <c r="K48" s="61"/>
      <c r="L48" s="61"/>
      <c r="M48" s="61"/>
      <c r="N48" s="176">
        <f t="shared" ref="N48:N49" si="3">C48*F48*I48</f>
        <v>27876</v>
      </c>
      <c r="O48" s="68" t="s">
        <v>36</v>
      </c>
      <c r="P48" s="177">
        <v>1100000</v>
      </c>
      <c r="Q48" s="64">
        <f t="shared" ref="Q48:Q49" si="4">N48*P48</f>
        <v>30663600000</v>
      </c>
      <c r="R48" s="79"/>
    </row>
    <row r="49" spans="1:18" s="43" customFormat="1" ht="19.899999999999999" customHeight="1" x14ac:dyDescent="0.2">
      <c r="A49" s="200"/>
      <c r="B49" s="129" t="s">
        <v>82</v>
      </c>
      <c r="C49" s="131">
        <v>2</v>
      </c>
      <c r="D49" s="129" t="s">
        <v>18</v>
      </c>
      <c r="E49" s="132" t="s">
        <v>17</v>
      </c>
      <c r="F49" s="129">
        <f>F47</f>
        <v>1</v>
      </c>
      <c r="G49" s="129" t="s">
        <v>24</v>
      </c>
      <c r="H49" s="132" t="s">
        <v>17</v>
      </c>
      <c r="I49" s="174">
        <v>4646</v>
      </c>
      <c r="J49" s="175" t="s">
        <v>83</v>
      </c>
      <c r="K49" s="61"/>
      <c r="L49" s="61"/>
      <c r="M49" s="61"/>
      <c r="N49" s="176">
        <f t="shared" si="3"/>
        <v>9292</v>
      </c>
      <c r="O49" s="68" t="s">
        <v>36</v>
      </c>
      <c r="P49" s="177">
        <v>700000</v>
      </c>
      <c r="Q49" s="64">
        <f t="shared" si="4"/>
        <v>6504400000</v>
      </c>
      <c r="R49" s="79"/>
    </row>
    <row r="50" spans="1:18" s="43" customFormat="1" ht="19.899999999999999" customHeight="1" x14ac:dyDescent="0.25">
      <c r="A50" s="197"/>
      <c r="B50" s="164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56"/>
      <c r="O50" s="57"/>
      <c r="P50" s="58"/>
      <c r="Q50" s="70"/>
      <c r="R50" s="79"/>
    </row>
    <row r="51" spans="1:18" s="43" customFormat="1" ht="19.899999999999999" customHeight="1" x14ac:dyDescent="0.2">
      <c r="A51" s="197" t="s">
        <v>28</v>
      </c>
      <c r="B51" s="271" t="s">
        <v>87</v>
      </c>
      <c r="C51" s="272"/>
      <c r="D51" s="272"/>
      <c r="E51" s="272"/>
      <c r="F51" s="272"/>
      <c r="G51" s="272"/>
      <c r="H51" s="272"/>
      <c r="I51" s="272"/>
      <c r="J51" s="272"/>
      <c r="K51" s="272"/>
      <c r="L51" s="272"/>
      <c r="M51" s="272"/>
      <c r="N51" s="62"/>
      <c r="O51" s="63"/>
      <c r="P51" s="64"/>
      <c r="Q51" s="59">
        <f>Q52</f>
        <v>16261000000</v>
      </c>
      <c r="R51" s="79"/>
    </row>
    <row r="52" spans="1:18" s="43" customFormat="1" ht="19.899999999999999" customHeight="1" x14ac:dyDescent="0.25">
      <c r="A52" s="198">
        <v>521219</v>
      </c>
      <c r="B52" s="83" t="s">
        <v>27</v>
      </c>
      <c r="C52" s="152"/>
      <c r="D52" s="84"/>
      <c r="E52" s="73"/>
      <c r="F52" s="73"/>
      <c r="G52" s="73"/>
      <c r="H52" s="73"/>
      <c r="I52" s="73"/>
      <c r="J52" s="73"/>
      <c r="K52" s="73"/>
      <c r="L52" s="73"/>
      <c r="M52" s="73"/>
      <c r="N52" s="67"/>
      <c r="O52" s="68"/>
      <c r="P52" s="85"/>
      <c r="Q52" s="86">
        <f>SUM(Q54:Q56)</f>
        <v>16261000000</v>
      </c>
      <c r="R52" s="79"/>
    </row>
    <row r="53" spans="1:18" s="43" customFormat="1" ht="19.899999999999999" customHeight="1" x14ac:dyDescent="0.25">
      <c r="A53" s="202"/>
      <c r="B53" s="84" t="s">
        <v>88</v>
      </c>
      <c r="C53" s="152"/>
      <c r="D53" s="84"/>
      <c r="E53" s="73"/>
      <c r="F53" s="73"/>
      <c r="G53" s="73"/>
      <c r="H53" s="73"/>
      <c r="I53" s="73"/>
      <c r="J53" s="73"/>
      <c r="K53" s="73"/>
      <c r="L53" s="73"/>
      <c r="M53" s="73"/>
      <c r="N53" s="67"/>
      <c r="O53" s="68"/>
      <c r="P53" s="85"/>
      <c r="Q53" s="86"/>
      <c r="R53" s="79"/>
    </row>
    <row r="54" spans="1:18" s="43" customFormat="1" ht="19.899999999999999" customHeight="1" x14ac:dyDescent="0.25">
      <c r="A54" s="198"/>
      <c r="B54" s="127" t="s">
        <v>84</v>
      </c>
      <c r="C54" s="151"/>
      <c r="D54" s="75"/>
      <c r="E54" s="75"/>
      <c r="F54" s="151">
        <v>1</v>
      </c>
      <c r="G54" s="75" t="s">
        <v>16</v>
      </c>
      <c r="H54" s="75" t="s">
        <v>17</v>
      </c>
      <c r="I54" s="174">
        <v>4646</v>
      </c>
      <c r="J54" s="175" t="s">
        <v>83</v>
      </c>
      <c r="K54" s="73"/>
      <c r="L54" s="73"/>
      <c r="M54" s="73"/>
      <c r="N54" s="185">
        <f>F54*I54</f>
        <v>4646</v>
      </c>
      <c r="O54" s="68" t="s">
        <v>23</v>
      </c>
      <c r="P54" s="85">
        <v>2000000</v>
      </c>
      <c r="Q54" s="87">
        <f t="shared" ref="Q54" si="5">N54*P54</f>
        <v>9292000000</v>
      </c>
      <c r="R54" s="79"/>
    </row>
    <row r="55" spans="1:18" s="43" customFormat="1" ht="19.899999999999999" customHeight="1" x14ac:dyDescent="0.25">
      <c r="A55" s="204"/>
      <c r="B55" s="169" t="s">
        <v>85</v>
      </c>
      <c r="C55" s="151"/>
      <c r="D55" s="75"/>
      <c r="E55" s="75"/>
      <c r="F55" s="151">
        <v>1</v>
      </c>
      <c r="G55" s="75" t="s">
        <v>16</v>
      </c>
      <c r="H55" s="75" t="s">
        <v>17</v>
      </c>
      <c r="I55" s="174">
        <v>4646</v>
      </c>
      <c r="J55" s="175" t="s">
        <v>83</v>
      </c>
      <c r="K55" s="73"/>
      <c r="L55" s="73"/>
      <c r="M55" s="73"/>
      <c r="N55" s="185">
        <f t="shared" ref="N55:N56" si="6">F55*I55</f>
        <v>4646</v>
      </c>
      <c r="O55" s="68" t="s">
        <v>23</v>
      </c>
      <c r="P55" s="85">
        <v>500000</v>
      </c>
      <c r="Q55" s="87">
        <f t="shared" ref="Q55:Q56" si="7">N55*P55</f>
        <v>2323000000</v>
      </c>
      <c r="R55" s="79"/>
    </row>
    <row r="56" spans="1:18" s="43" customFormat="1" ht="19.899999999999999" customHeight="1" x14ac:dyDescent="0.25">
      <c r="A56" s="204"/>
      <c r="B56" s="169" t="s">
        <v>86</v>
      </c>
      <c r="C56" s="151"/>
      <c r="D56" s="75"/>
      <c r="E56" s="75"/>
      <c r="F56" s="151">
        <v>1</v>
      </c>
      <c r="G56" s="75" t="s">
        <v>16</v>
      </c>
      <c r="H56" s="75" t="s">
        <v>17</v>
      </c>
      <c r="I56" s="174">
        <v>4646</v>
      </c>
      <c r="J56" s="175" t="s">
        <v>83</v>
      </c>
      <c r="K56" s="73"/>
      <c r="L56" s="73"/>
      <c r="M56" s="73"/>
      <c r="N56" s="185">
        <f t="shared" si="6"/>
        <v>4646</v>
      </c>
      <c r="O56" s="68" t="s">
        <v>23</v>
      </c>
      <c r="P56" s="85">
        <v>1000000</v>
      </c>
      <c r="Q56" s="87">
        <f t="shared" si="7"/>
        <v>4646000000</v>
      </c>
      <c r="R56" s="79"/>
    </row>
    <row r="57" spans="1:18" s="43" customFormat="1" ht="19.899999999999999" customHeight="1" x14ac:dyDescent="0.25">
      <c r="A57" s="204"/>
      <c r="B57" s="169"/>
      <c r="C57" s="217"/>
      <c r="D57" s="218"/>
      <c r="E57" s="218"/>
      <c r="F57" s="217"/>
      <c r="G57" s="218"/>
      <c r="H57" s="218"/>
      <c r="I57" s="174"/>
      <c r="J57" s="175"/>
      <c r="K57" s="170"/>
      <c r="L57" s="170"/>
      <c r="M57" s="170"/>
      <c r="N57" s="219"/>
      <c r="O57" s="171"/>
      <c r="P57" s="172"/>
      <c r="Q57" s="173"/>
      <c r="R57" s="79"/>
    </row>
    <row r="58" spans="1:18" ht="19.899999999999999" customHeight="1" thickBot="1" x14ac:dyDescent="0.3">
      <c r="A58" s="205"/>
      <c r="B58" s="88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90"/>
      <c r="N58" s="91"/>
      <c r="O58" s="90"/>
      <c r="P58" s="92"/>
      <c r="Q58" s="93"/>
      <c r="R58" s="79"/>
    </row>
    <row r="59" spans="1:18" ht="19.5" customHeight="1" x14ac:dyDescent="0.25">
      <c r="A59" s="8"/>
      <c r="B59" s="9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10"/>
      <c r="O59" s="98"/>
      <c r="P59" s="11"/>
      <c r="Q59" s="7"/>
      <c r="R59" s="79"/>
    </row>
    <row r="60" spans="1:18" ht="19.899999999999999" customHeight="1" x14ac:dyDescent="0.25">
      <c r="A60" s="206"/>
      <c r="B60" s="206"/>
      <c r="C60" s="207"/>
      <c r="D60" s="207"/>
      <c r="E60" s="207"/>
      <c r="F60" s="207"/>
      <c r="G60" s="207"/>
      <c r="H60" s="244" t="s">
        <v>75</v>
      </c>
      <c r="I60" s="244"/>
      <c r="J60" s="244"/>
      <c r="K60" s="244"/>
      <c r="L60" s="244"/>
      <c r="M60" s="244"/>
      <c r="N60" s="244"/>
      <c r="O60" s="244"/>
      <c r="P60" s="244"/>
      <c r="Q60" s="244"/>
      <c r="R60" s="43"/>
    </row>
    <row r="61" spans="1:18" ht="19.899999999999999" customHeight="1" x14ac:dyDescent="0.25">
      <c r="A61" s="206"/>
      <c r="B61" s="208"/>
      <c r="C61" s="207"/>
      <c r="D61" s="207"/>
      <c r="E61" s="207"/>
      <c r="F61" s="207"/>
      <c r="G61" s="207"/>
      <c r="H61" s="244"/>
      <c r="I61" s="244"/>
      <c r="J61" s="244"/>
      <c r="K61" s="244"/>
      <c r="L61" s="244"/>
      <c r="M61" s="244"/>
      <c r="N61" s="244"/>
      <c r="O61" s="244"/>
      <c r="P61" s="244"/>
      <c r="Q61" s="244"/>
      <c r="R61" s="43"/>
    </row>
    <row r="62" spans="1:18" ht="19.899999999999999" customHeight="1" x14ac:dyDescent="0.25">
      <c r="A62" s="206"/>
      <c r="B62" s="207" t="s">
        <v>44</v>
      </c>
      <c r="C62" s="207"/>
      <c r="D62" s="207"/>
      <c r="E62" s="207"/>
      <c r="F62" s="207"/>
      <c r="G62" s="207"/>
      <c r="H62" s="244" t="s">
        <v>45</v>
      </c>
      <c r="I62" s="244"/>
      <c r="J62" s="244"/>
      <c r="K62" s="244"/>
      <c r="L62" s="244"/>
      <c r="M62" s="244"/>
      <c r="N62" s="244"/>
      <c r="O62" s="244"/>
      <c r="P62" s="244"/>
      <c r="Q62" s="244"/>
      <c r="R62" s="43"/>
    </row>
    <row r="63" spans="1:18" ht="19.899999999999999" customHeight="1" x14ac:dyDescent="0.25">
      <c r="A63" s="206"/>
      <c r="B63" s="207"/>
      <c r="C63" s="207"/>
      <c r="D63" s="207"/>
      <c r="E63" s="207"/>
      <c r="F63" s="207"/>
      <c r="G63" s="207"/>
      <c r="H63" s="207"/>
      <c r="I63" s="207"/>
      <c r="J63" s="207"/>
      <c r="K63" s="207"/>
      <c r="L63" s="207"/>
      <c r="M63" s="207"/>
      <c r="N63" s="207"/>
      <c r="O63" s="207"/>
      <c r="P63" s="207"/>
      <c r="Q63" s="207"/>
      <c r="R63" s="43"/>
    </row>
    <row r="64" spans="1:18" ht="19.899999999999999" customHeight="1" x14ac:dyDescent="0.25">
      <c r="A64" s="206"/>
      <c r="B64" s="207"/>
      <c r="C64" s="207"/>
      <c r="D64" s="207"/>
      <c r="E64" s="207"/>
      <c r="F64" s="207"/>
      <c r="G64" s="207"/>
      <c r="H64" s="207"/>
      <c r="I64" s="207"/>
      <c r="J64" s="207"/>
      <c r="K64" s="207"/>
      <c r="L64" s="207"/>
      <c r="M64" s="207"/>
      <c r="N64" s="206"/>
      <c r="O64" s="206"/>
      <c r="P64" s="206"/>
      <c r="Q64" s="206"/>
      <c r="R64" s="43"/>
    </row>
    <row r="65" spans="1:18" ht="19.899999999999999" customHeight="1" x14ac:dyDescent="0.25">
      <c r="A65" s="206"/>
      <c r="B65" s="207"/>
      <c r="C65" s="207"/>
      <c r="D65" s="207"/>
      <c r="E65" s="207"/>
      <c r="F65" s="207"/>
      <c r="G65" s="207"/>
      <c r="H65" s="207"/>
      <c r="I65" s="207"/>
      <c r="J65" s="207"/>
      <c r="K65" s="207"/>
      <c r="L65" s="207"/>
      <c r="M65" s="207"/>
      <c r="N65" s="244"/>
      <c r="O65" s="244"/>
      <c r="P65" s="244"/>
      <c r="Q65" s="206"/>
      <c r="R65" s="43"/>
    </row>
    <row r="66" spans="1:18" ht="19.899999999999999" customHeight="1" x14ac:dyDescent="0.25">
      <c r="A66" s="206"/>
      <c r="B66" s="209" t="s">
        <v>46</v>
      </c>
      <c r="C66" s="207"/>
      <c r="D66" s="207"/>
      <c r="E66" s="207"/>
      <c r="F66" s="207"/>
      <c r="G66" s="207"/>
      <c r="H66" s="245" t="s">
        <v>53</v>
      </c>
      <c r="I66" s="245"/>
      <c r="J66" s="245"/>
      <c r="K66" s="245"/>
      <c r="L66" s="245"/>
      <c r="M66" s="245"/>
      <c r="N66" s="245"/>
      <c r="O66" s="245"/>
      <c r="P66" s="245"/>
      <c r="Q66" s="245"/>
    </row>
    <row r="67" spans="1:18" ht="15.75" customHeight="1" x14ac:dyDescent="0.25">
      <c r="A67" s="43"/>
      <c r="B67" s="43"/>
      <c r="C67" s="44"/>
      <c r="D67" s="44"/>
      <c r="E67" s="44"/>
      <c r="F67" s="44"/>
      <c r="G67" s="44"/>
      <c r="H67" s="43"/>
      <c r="I67" s="43"/>
      <c r="J67" s="43"/>
      <c r="K67" s="43"/>
      <c r="L67" s="43"/>
      <c r="M67" s="162"/>
      <c r="N67" s="162"/>
      <c r="O67" s="162"/>
      <c r="P67" s="162"/>
      <c r="Q67" s="162"/>
      <c r="R67" s="43"/>
    </row>
    <row r="68" spans="1:18" ht="15.75" customHeight="1" x14ac:dyDescent="0.25">
      <c r="A68" s="43"/>
      <c r="B68" s="43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3"/>
      <c r="O68" s="43"/>
      <c r="P68" s="43"/>
      <c r="Q68" s="43"/>
      <c r="R68" s="43"/>
    </row>
    <row r="69" spans="1:18" ht="15.75" customHeight="1" x14ac:dyDescent="0.25">
      <c r="A69" s="134" t="s">
        <v>65</v>
      </c>
      <c r="B69" s="134"/>
      <c r="C69" s="139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3"/>
      <c r="O69" s="43"/>
      <c r="P69" s="43"/>
      <c r="Q69" s="43"/>
      <c r="R69" s="43"/>
    </row>
    <row r="70" spans="1:18" ht="15.75" customHeight="1" x14ac:dyDescent="0.25">
      <c r="A70" s="135" t="s">
        <v>54</v>
      </c>
      <c r="B70" s="136" t="s">
        <v>55</v>
      </c>
      <c r="C70" s="148">
        <v>150000</v>
      </c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3"/>
      <c r="O70" s="43"/>
      <c r="P70" s="43"/>
      <c r="Q70" s="43"/>
      <c r="R70" s="43"/>
    </row>
    <row r="71" spans="1:18" ht="15.75" customHeight="1" x14ac:dyDescent="0.25">
      <c r="A71" s="135" t="s">
        <v>54</v>
      </c>
      <c r="B71" s="136" t="s">
        <v>64</v>
      </c>
      <c r="C71" s="148">
        <v>300000</v>
      </c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3"/>
      <c r="O71" s="43"/>
      <c r="P71" s="43"/>
      <c r="Q71" s="43"/>
      <c r="R71" s="43"/>
    </row>
    <row r="72" spans="1:18" ht="15.75" customHeight="1" x14ac:dyDescent="0.25">
      <c r="A72" s="135" t="s">
        <v>54</v>
      </c>
      <c r="B72" s="136" t="s">
        <v>63</v>
      </c>
      <c r="C72" s="148">
        <v>250000</v>
      </c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3"/>
      <c r="O72" s="43"/>
      <c r="P72" s="43"/>
      <c r="Q72" s="43"/>
      <c r="R72" s="43"/>
    </row>
    <row r="73" spans="1:18" s="140" customFormat="1" ht="15.75" customHeight="1" x14ac:dyDescent="0.25">
      <c r="A73" s="135" t="s">
        <v>54</v>
      </c>
      <c r="B73" s="136" t="s">
        <v>60</v>
      </c>
      <c r="C73" s="148">
        <v>100000</v>
      </c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3"/>
      <c r="O73" s="43"/>
      <c r="P73" s="43"/>
      <c r="Q73" s="43"/>
      <c r="R73" s="43"/>
    </row>
    <row r="74" spans="1:18" s="145" customFormat="1" ht="15.75" customHeight="1" thickBot="1" x14ac:dyDescent="0.3">
      <c r="A74" s="135"/>
      <c r="B74" s="136"/>
      <c r="C74" s="161">
        <f>SUM(C70:C73)</f>
        <v>800000</v>
      </c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3"/>
      <c r="O74" s="43"/>
      <c r="P74" s="43"/>
      <c r="Q74" s="43"/>
      <c r="R74" s="43"/>
    </row>
    <row r="75" spans="1:18" s="145" customFormat="1" ht="15.75" customHeight="1" x14ac:dyDescent="0.25">
      <c r="A75" s="135"/>
      <c r="B75" s="136"/>
      <c r="C75" s="147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3"/>
      <c r="O75" s="43"/>
      <c r="P75" s="43"/>
      <c r="Q75" s="43"/>
      <c r="R75" s="43"/>
    </row>
    <row r="76" spans="1:18" s="140" customFormat="1" ht="15.75" customHeight="1" x14ac:dyDescent="0.25">
      <c r="A76" s="135"/>
      <c r="B76" s="136"/>
      <c r="C76" s="147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3"/>
      <c r="O76" s="43"/>
      <c r="P76" s="43"/>
      <c r="Q76" s="43"/>
      <c r="R76" s="43"/>
    </row>
    <row r="77" spans="1:18" ht="15.75" customHeight="1" x14ac:dyDescent="0.25">
      <c r="A77" s="135"/>
      <c r="B77" s="137"/>
      <c r="C77" s="153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3"/>
      <c r="O77" s="43"/>
      <c r="P77" s="43"/>
      <c r="Q77" s="43"/>
      <c r="R77" s="43"/>
    </row>
    <row r="78" spans="1:18" ht="15.75" customHeight="1" x14ac:dyDescent="0.25">
      <c r="A78" s="134" t="s">
        <v>66</v>
      </c>
      <c r="B78" s="134"/>
      <c r="C78" s="153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3"/>
      <c r="O78" s="43"/>
      <c r="P78" s="43"/>
      <c r="Q78" s="43"/>
      <c r="R78" s="43"/>
    </row>
    <row r="79" spans="1:18" ht="15.75" customHeight="1" x14ac:dyDescent="0.25">
      <c r="A79" s="135" t="s">
        <v>54</v>
      </c>
      <c r="B79" s="136" t="s">
        <v>57</v>
      </c>
      <c r="C79" s="139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3"/>
      <c r="O79" s="43"/>
      <c r="P79" s="43"/>
      <c r="Q79" s="43"/>
      <c r="R79" s="43"/>
    </row>
    <row r="80" spans="1:18" ht="15.75" customHeight="1" x14ac:dyDescent="0.25">
      <c r="A80" s="135" t="s">
        <v>54</v>
      </c>
      <c r="B80" s="136" t="s">
        <v>58</v>
      </c>
      <c r="C80" s="139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3"/>
      <c r="O80" s="43"/>
      <c r="P80" s="43"/>
      <c r="Q80" s="43"/>
      <c r="R80" s="43"/>
    </row>
    <row r="81" spans="1:18" ht="15.75" customHeight="1" x14ac:dyDescent="0.25">
      <c r="A81" s="135" t="s">
        <v>54</v>
      </c>
      <c r="B81" s="136" t="s">
        <v>68</v>
      </c>
      <c r="C81" s="139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3"/>
      <c r="O81" s="43"/>
      <c r="P81" s="43"/>
      <c r="Q81" s="43"/>
      <c r="R81" s="43"/>
    </row>
    <row r="82" spans="1:18" ht="15.75" customHeight="1" x14ac:dyDescent="0.25">
      <c r="A82" s="141"/>
      <c r="B82" s="141"/>
      <c r="C82" s="139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3"/>
      <c r="O82" s="43"/>
      <c r="P82" s="43"/>
      <c r="Q82" s="43"/>
      <c r="R82" s="43"/>
    </row>
    <row r="83" spans="1:18" ht="15.75" customHeight="1" x14ac:dyDescent="0.25">
      <c r="A83" s="141"/>
      <c r="B83" s="141"/>
      <c r="C83" s="139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3"/>
      <c r="O83" s="43"/>
      <c r="P83" s="43"/>
      <c r="Q83" s="43"/>
      <c r="R83" s="43"/>
    </row>
    <row r="84" spans="1:18" ht="15.75" customHeight="1" x14ac:dyDescent="0.25">
      <c r="A84" s="43"/>
      <c r="B84" s="43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3"/>
      <c r="O84" s="43"/>
      <c r="P84" s="43"/>
      <c r="Q84" s="43"/>
      <c r="R84" s="43"/>
    </row>
    <row r="85" spans="1:18" ht="15.75" customHeight="1" x14ac:dyDescent="0.25">
      <c r="A85" s="43"/>
      <c r="B85" s="43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3"/>
      <c r="O85" s="43"/>
      <c r="P85" s="43"/>
      <c r="Q85" s="43"/>
      <c r="R85" s="43"/>
    </row>
    <row r="86" spans="1:18" ht="15.75" customHeight="1" x14ac:dyDescent="0.25">
      <c r="A86" s="43"/>
      <c r="B86" s="43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3"/>
      <c r="O86" s="43"/>
      <c r="P86" s="43"/>
      <c r="Q86" s="43"/>
      <c r="R86" s="43"/>
    </row>
    <row r="87" spans="1:18" ht="15.75" customHeight="1" x14ac:dyDescent="0.25">
      <c r="A87" s="43"/>
      <c r="B87" s="43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3"/>
      <c r="O87" s="43"/>
      <c r="P87" s="43"/>
      <c r="Q87" s="43"/>
      <c r="R87" s="43"/>
    </row>
    <row r="88" spans="1:18" ht="15.75" customHeight="1" x14ac:dyDescent="0.25">
      <c r="A88" s="43"/>
      <c r="B88" s="43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3"/>
      <c r="O88" s="43"/>
      <c r="P88" s="43"/>
      <c r="Q88" s="43"/>
      <c r="R88" s="43"/>
    </row>
    <row r="89" spans="1:18" ht="15.75" customHeight="1" x14ac:dyDescent="0.25">
      <c r="A89" s="43"/>
      <c r="B89" s="43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3"/>
      <c r="O89" s="43"/>
      <c r="P89" s="43"/>
      <c r="Q89" s="43"/>
      <c r="R89" s="43"/>
    </row>
    <row r="90" spans="1:18" ht="15.75" customHeight="1" x14ac:dyDescent="0.25">
      <c r="A90" s="43"/>
      <c r="B90" s="43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3"/>
      <c r="O90" s="43"/>
      <c r="P90" s="43"/>
      <c r="Q90" s="43"/>
      <c r="R90" s="43"/>
    </row>
    <row r="91" spans="1:18" ht="15.75" customHeight="1" x14ac:dyDescent="0.25">
      <c r="A91" s="43"/>
      <c r="B91" s="43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3"/>
      <c r="O91" s="43"/>
      <c r="P91" s="43"/>
      <c r="Q91" s="43"/>
      <c r="R91" s="43"/>
    </row>
    <row r="92" spans="1:18" ht="15.75" customHeight="1" x14ac:dyDescent="0.25">
      <c r="A92" s="43"/>
      <c r="B92" s="43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3"/>
      <c r="O92" s="43"/>
      <c r="P92" s="43"/>
      <c r="Q92" s="43"/>
      <c r="R92" s="43"/>
    </row>
    <row r="93" spans="1:18" ht="15.75" customHeight="1" x14ac:dyDescent="0.25">
      <c r="A93" s="43"/>
      <c r="B93" s="43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3"/>
      <c r="O93" s="43"/>
      <c r="P93" s="43"/>
      <c r="Q93" s="43"/>
      <c r="R93" s="43"/>
    </row>
    <row r="94" spans="1:18" ht="15.75" customHeight="1" x14ac:dyDescent="0.25">
      <c r="A94" s="43"/>
      <c r="B94" s="43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3"/>
      <c r="O94" s="43"/>
      <c r="P94" s="43"/>
      <c r="Q94" s="43"/>
      <c r="R94" s="43"/>
    </row>
    <row r="95" spans="1:18" ht="15.75" customHeight="1" x14ac:dyDescent="0.25">
      <c r="A95" s="43"/>
      <c r="B95" s="43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3"/>
      <c r="O95" s="43"/>
      <c r="P95" s="43"/>
      <c r="Q95" s="43"/>
      <c r="R95" s="43"/>
    </row>
    <row r="96" spans="1:18" ht="15.75" customHeight="1" x14ac:dyDescent="0.25">
      <c r="A96" s="43"/>
      <c r="B96" s="43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3"/>
      <c r="O96" s="43"/>
      <c r="P96" s="43"/>
      <c r="Q96" s="43"/>
      <c r="R96" s="43"/>
    </row>
    <row r="97" spans="1:18" ht="15.75" customHeight="1" x14ac:dyDescent="0.25">
      <c r="A97" s="43"/>
      <c r="B97" s="43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3"/>
      <c r="O97" s="43"/>
      <c r="P97" s="43"/>
      <c r="Q97" s="43"/>
      <c r="R97" s="43"/>
    </row>
    <row r="98" spans="1:18" ht="15.75" customHeight="1" x14ac:dyDescent="0.25">
      <c r="A98" s="43"/>
      <c r="B98" s="43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3"/>
      <c r="O98" s="43"/>
      <c r="P98" s="43"/>
      <c r="Q98" s="43"/>
      <c r="R98" s="43"/>
    </row>
    <row r="99" spans="1:18" ht="15.75" customHeight="1" x14ac:dyDescent="0.25">
      <c r="A99" s="43"/>
      <c r="B99" s="43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3"/>
      <c r="O99" s="43"/>
      <c r="P99" s="43"/>
      <c r="Q99" s="43"/>
      <c r="R99" s="43"/>
    </row>
    <row r="100" spans="1:18" ht="15.75" customHeight="1" x14ac:dyDescent="0.25">
      <c r="A100" s="43"/>
      <c r="B100" s="43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3"/>
      <c r="O100" s="43"/>
      <c r="P100" s="43"/>
      <c r="Q100" s="43"/>
      <c r="R100" s="43"/>
    </row>
    <row r="101" spans="1:18" ht="15.75" customHeight="1" x14ac:dyDescent="0.25">
      <c r="A101" s="43"/>
      <c r="B101" s="43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3"/>
      <c r="O101" s="43"/>
      <c r="P101" s="43"/>
      <c r="Q101" s="43"/>
      <c r="R101" s="43"/>
    </row>
    <row r="102" spans="1:18" ht="15.75" customHeight="1" x14ac:dyDescent="0.25">
      <c r="A102" s="43"/>
      <c r="B102" s="43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3"/>
      <c r="O102" s="43"/>
      <c r="P102" s="43"/>
      <c r="Q102" s="43"/>
      <c r="R102" s="43"/>
    </row>
    <row r="103" spans="1:18" ht="15.75" customHeight="1" x14ac:dyDescent="0.25">
      <c r="A103" s="43"/>
      <c r="B103" s="43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3"/>
      <c r="O103" s="43"/>
      <c r="P103" s="43"/>
      <c r="Q103" s="43"/>
      <c r="R103" s="43"/>
    </row>
    <row r="104" spans="1:18" ht="15.75" customHeight="1" x14ac:dyDescent="0.25">
      <c r="A104" s="43"/>
      <c r="B104" s="43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3"/>
      <c r="O104" s="43"/>
      <c r="P104" s="43"/>
      <c r="Q104" s="43"/>
      <c r="R104" s="43"/>
    </row>
    <row r="105" spans="1:18" ht="15.75" customHeight="1" x14ac:dyDescent="0.25">
      <c r="A105" s="43"/>
      <c r="B105" s="43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3"/>
      <c r="O105" s="43"/>
      <c r="P105" s="43"/>
      <c r="Q105" s="43"/>
      <c r="R105" s="43"/>
    </row>
    <row r="106" spans="1:18" ht="15.75" customHeight="1" x14ac:dyDescent="0.25">
      <c r="A106" s="43"/>
      <c r="B106" s="43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3"/>
      <c r="O106" s="43"/>
      <c r="P106" s="43"/>
      <c r="Q106" s="43"/>
      <c r="R106" s="43"/>
    </row>
    <row r="107" spans="1:18" ht="15.75" customHeight="1" x14ac:dyDescent="0.25">
      <c r="A107" s="43"/>
      <c r="B107" s="43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3"/>
      <c r="O107" s="43"/>
      <c r="P107" s="43"/>
      <c r="Q107" s="43"/>
      <c r="R107" s="43"/>
    </row>
    <row r="108" spans="1:18" ht="15.75" customHeight="1" x14ac:dyDescent="0.25">
      <c r="A108" s="43"/>
      <c r="B108" s="43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3"/>
      <c r="O108" s="43"/>
      <c r="P108" s="43"/>
      <c r="Q108" s="43"/>
      <c r="R108" s="43"/>
    </row>
    <row r="109" spans="1:18" ht="15.75" customHeight="1" x14ac:dyDescent="0.25">
      <c r="A109" s="43"/>
      <c r="B109" s="43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3"/>
      <c r="O109" s="43"/>
      <c r="P109" s="43"/>
      <c r="Q109" s="43"/>
      <c r="R109" s="43"/>
    </row>
    <row r="110" spans="1:18" ht="15.75" customHeight="1" x14ac:dyDescent="0.25">
      <c r="A110" s="43"/>
      <c r="B110" s="43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3"/>
      <c r="O110" s="43"/>
      <c r="P110" s="43"/>
      <c r="Q110" s="43"/>
      <c r="R110" s="43"/>
    </row>
    <row r="111" spans="1:18" ht="15.75" customHeight="1" x14ac:dyDescent="0.25">
      <c r="A111" s="43"/>
      <c r="B111" s="43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3"/>
      <c r="O111" s="43"/>
      <c r="P111" s="43"/>
      <c r="Q111" s="43"/>
      <c r="R111" s="43"/>
    </row>
    <row r="112" spans="1:18" ht="15.75" customHeight="1" x14ac:dyDescent="0.25">
      <c r="A112" s="43"/>
      <c r="B112" s="43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3"/>
      <c r="O112" s="43"/>
      <c r="P112" s="43"/>
      <c r="Q112" s="43"/>
      <c r="R112" s="43"/>
    </row>
    <row r="113" spans="1:18" ht="15.75" customHeight="1" x14ac:dyDescent="0.25">
      <c r="A113" s="43"/>
      <c r="B113" s="43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3"/>
      <c r="O113" s="43"/>
      <c r="P113" s="43"/>
      <c r="Q113" s="43"/>
      <c r="R113" s="43"/>
    </row>
    <row r="114" spans="1:18" ht="15.75" customHeight="1" x14ac:dyDescent="0.25">
      <c r="A114" s="43"/>
      <c r="B114" s="43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3"/>
      <c r="O114" s="43"/>
      <c r="P114" s="43"/>
      <c r="Q114" s="43"/>
      <c r="R114" s="43"/>
    </row>
    <row r="115" spans="1:18" ht="15.75" customHeight="1" x14ac:dyDescent="0.25">
      <c r="A115" s="43"/>
      <c r="B115" s="43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3"/>
      <c r="O115" s="43"/>
      <c r="P115" s="43"/>
      <c r="Q115" s="43"/>
      <c r="R115" s="43"/>
    </row>
    <row r="116" spans="1:18" ht="15.75" customHeight="1" x14ac:dyDescent="0.25">
      <c r="A116" s="43"/>
      <c r="B116" s="43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3"/>
      <c r="O116" s="43"/>
      <c r="P116" s="43"/>
      <c r="Q116" s="43"/>
      <c r="R116" s="43"/>
    </row>
    <row r="117" spans="1:18" ht="15.75" customHeight="1" x14ac:dyDescent="0.25">
      <c r="A117" s="43"/>
      <c r="B117" s="43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3"/>
      <c r="O117" s="43"/>
      <c r="P117" s="43"/>
      <c r="Q117" s="43"/>
      <c r="R117" s="43"/>
    </row>
    <row r="118" spans="1:18" ht="15.75" customHeight="1" x14ac:dyDescent="0.25">
      <c r="A118" s="43"/>
      <c r="B118" s="43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3"/>
      <c r="O118" s="43"/>
      <c r="P118" s="43"/>
      <c r="Q118" s="43"/>
      <c r="R118" s="43"/>
    </row>
    <row r="119" spans="1:18" ht="15.75" customHeight="1" x14ac:dyDescent="0.25">
      <c r="A119" s="43"/>
      <c r="B119" s="43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3"/>
      <c r="O119" s="43"/>
      <c r="P119" s="43"/>
      <c r="Q119" s="43"/>
      <c r="R119" s="43"/>
    </row>
    <row r="120" spans="1:18" ht="15.75" customHeight="1" x14ac:dyDescent="0.25">
      <c r="A120" s="43"/>
      <c r="B120" s="43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3"/>
      <c r="O120" s="43"/>
      <c r="P120" s="43"/>
      <c r="Q120" s="43"/>
      <c r="R120" s="43"/>
    </row>
    <row r="121" spans="1:18" ht="15.75" customHeight="1" x14ac:dyDescent="0.25">
      <c r="A121" s="43"/>
      <c r="B121" s="43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3"/>
      <c r="O121" s="43"/>
      <c r="P121" s="43"/>
      <c r="Q121" s="43"/>
      <c r="R121" s="43"/>
    </row>
    <row r="122" spans="1:18" ht="15.75" customHeight="1" x14ac:dyDescent="0.25">
      <c r="A122" s="43"/>
      <c r="B122" s="43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3"/>
      <c r="O122" s="43"/>
      <c r="P122" s="43"/>
      <c r="Q122" s="43"/>
      <c r="R122" s="43"/>
    </row>
    <row r="123" spans="1:18" ht="15.75" customHeight="1" x14ac:dyDescent="0.25">
      <c r="A123" s="43"/>
      <c r="B123" s="43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3"/>
      <c r="O123" s="43"/>
      <c r="P123" s="43"/>
      <c r="Q123" s="43"/>
      <c r="R123" s="43"/>
    </row>
    <row r="124" spans="1:18" ht="15.75" customHeight="1" x14ac:dyDescent="0.25">
      <c r="A124" s="43"/>
      <c r="B124" s="43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3"/>
      <c r="O124" s="43"/>
      <c r="P124" s="43"/>
      <c r="Q124" s="43"/>
      <c r="R124" s="43"/>
    </row>
    <row r="125" spans="1:18" ht="15.75" customHeight="1" x14ac:dyDescent="0.25">
      <c r="A125" s="43"/>
      <c r="B125" s="43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3"/>
      <c r="O125" s="43"/>
      <c r="P125" s="43"/>
      <c r="Q125" s="43"/>
      <c r="R125" s="43"/>
    </row>
    <row r="126" spans="1:18" ht="15.75" customHeight="1" x14ac:dyDescent="0.25">
      <c r="A126" s="43"/>
      <c r="B126" s="43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3"/>
      <c r="O126" s="43"/>
      <c r="P126" s="43"/>
      <c r="Q126" s="43"/>
      <c r="R126" s="43"/>
    </row>
    <row r="127" spans="1:18" ht="15.75" customHeight="1" x14ac:dyDescent="0.25">
      <c r="A127" s="43"/>
      <c r="B127" s="43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3"/>
      <c r="O127" s="43"/>
      <c r="P127" s="43"/>
      <c r="Q127" s="43"/>
      <c r="R127" s="43"/>
    </row>
    <row r="128" spans="1:18" ht="15.75" customHeight="1" x14ac:dyDescent="0.25">
      <c r="A128" s="43"/>
      <c r="B128" s="43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3"/>
      <c r="O128" s="43"/>
      <c r="P128" s="43"/>
      <c r="Q128" s="43"/>
      <c r="R128" s="43"/>
    </row>
    <row r="129" spans="1:18" ht="15.75" customHeight="1" x14ac:dyDescent="0.25">
      <c r="A129" s="43"/>
      <c r="B129" s="43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3"/>
      <c r="O129" s="43"/>
      <c r="P129" s="43"/>
      <c r="Q129" s="43"/>
      <c r="R129" s="43"/>
    </row>
    <row r="130" spans="1:18" ht="15.75" customHeight="1" x14ac:dyDescent="0.25">
      <c r="A130" s="43"/>
      <c r="B130" s="43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3"/>
      <c r="O130" s="43"/>
      <c r="P130" s="43"/>
      <c r="Q130" s="43"/>
      <c r="R130" s="43"/>
    </row>
    <row r="131" spans="1:18" ht="15.75" customHeight="1" x14ac:dyDescent="0.25">
      <c r="A131" s="43"/>
      <c r="B131" s="43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3"/>
      <c r="O131" s="43"/>
      <c r="P131" s="43"/>
      <c r="Q131" s="43"/>
      <c r="R131" s="43"/>
    </row>
    <row r="132" spans="1:18" ht="15.75" customHeight="1" x14ac:dyDescent="0.25">
      <c r="A132" s="43"/>
      <c r="B132" s="43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3"/>
      <c r="O132" s="43"/>
      <c r="P132" s="43"/>
      <c r="Q132" s="43"/>
      <c r="R132" s="43"/>
    </row>
  </sheetData>
  <mergeCells count="27">
    <mergeCell ref="D7:Q7"/>
    <mergeCell ref="A1:Q1"/>
    <mergeCell ref="A2:Q2"/>
    <mergeCell ref="D4:Q4"/>
    <mergeCell ref="D5:Q5"/>
    <mergeCell ref="D6:Q6"/>
    <mergeCell ref="D8:Q8"/>
    <mergeCell ref="A10:B10"/>
    <mergeCell ref="A11:A12"/>
    <mergeCell ref="B11:M12"/>
    <mergeCell ref="N11:O12"/>
    <mergeCell ref="P11:P12"/>
    <mergeCell ref="Q11:Q12"/>
    <mergeCell ref="D9:Q9"/>
    <mergeCell ref="H61:Q61"/>
    <mergeCell ref="H62:Q62"/>
    <mergeCell ref="N65:P65"/>
    <mergeCell ref="H66:Q66"/>
    <mergeCell ref="B13:G13"/>
    <mergeCell ref="N13:O13"/>
    <mergeCell ref="B16:M16"/>
    <mergeCell ref="B27:M27"/>
    <mergeCell ref="B42:M42"/>
    <mergeCell ref="B51:M51"/>
    <mergeCell ref="B14:M14"/>
    <mergeCell ref="B15:M15"/>
    <mergeCell ref="H60:Q60"/>
  </mergeCells>
  <printOptions horizontalCentered="1"/>
  <pageMargins left="0.11811023622047245" right="0.11811023622047245" top="0.55118110236220474" bottom="0.55118110236220474" header="0" footer="0"/>
  <pageSetup paperSize="256" scale="5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OPS PPK FEB</vt:lpstr>
      <vt:lpstr>OPS PPS FEB</vt:lpstr>
      <vt:lpstr>'OPS PPK FEB'!Print_Area</vt:lpstr>
      <vt:lpstr>'OPS PPS FEB'!Print_Area</vt:lpstr>
      <vt:lpstr>'OPS PPS FEB'!Print_Titles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Keuangan Kosem</cp:lastModifiedBy>
  <cp:lastPrinted>2024-02-05T08:39:25Z</cp:lastPrinted>
  <dcterms:created xsi:type="dcterms:W3CDTF">2022-09-13T02:34:07Z</dcterms:created>
  <dcterms:modified xsi:type="dcterms:W3CDTF">2024-02-13T04:57:41Z</dcterms:modified>
</cp:coreProperties>
</file>